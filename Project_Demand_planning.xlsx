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  <sheet state="visible" name="Summary" sheetId="2" r:id="rId6"/>
  </sheets>
  <definedNames/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<sst xmlns="http://schemas.openxmlformats.org/spreadsheetml/2006/main" count="3747" uniqueCount="142">
  <si>
    <t>SKU</t>
  </si>
  <si>
    <t>Category</t>
  </si>
  <si>
    <t>Month</t>
  </si>
  <si>
    <t>Actual_Demand</t>
  </si>
  <si>
    <t>Forecast_Demand</t>
  </si>
  <si>
    <t>Error</t>
  </si>
  <si>
    <t>Absolute Error</t>
  </si>
  <si>
    <t>Percentage Error</t>
  </si>
  <si>
    <t>Forecast Accuracy</t>
  </si>
  <si>
    <t>Bias</t>
  </si>
  <si>
    <t>Bias_Interpretation</t>
  </si>
  <si>
    <t>RSFE</t>
  </si>
  <si>
    <t>MAD</t>
  </si>
  <si>
    <t>Tracking Signal</t>
  </si>
  <si>
    <t>TS_Interpretation</t>
  </si>
  <si>
    <t>SKU001</t>
  </si>
  <si>
    <t>Fast Moving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</si>
  <si>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</si>
  <si>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</si>
  <si>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</si>
  <si>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</si>
  <si>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</si>
  <si>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</si>
  <si>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</si>
  <si>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</si>
  <si>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</si>
  <si>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</si>
  <si>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</si>
  <si>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</si>
  <si>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</si>
  <si>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</si>
  <si>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</si>
  <si>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</si>
  <si>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</si>
  <si>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</si>
  <si>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</si>
  <si>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</si>
  <si>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</si>
  <si>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</si>
  <si>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</si>
  <si>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</si>
  <si>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</si>
  <si>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</si>
  <si>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</si>
  <si>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</si>
  <si>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</si>
  <si>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</si>
  <si>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</si>
  <si>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</si>
  <si>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</si>
  <si>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</si>
  <si>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</si>
  <si>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</si>
  <si>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</si>
  <si>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</si>
  <si>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</si>
  <si>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</si>
  <si>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</si>
  <si>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</si>
  <si>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</si>
  <si>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</si>
  <si>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</si>
  <si>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</si>
  <si>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</si>
  <si>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</si>
  <si>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</si>
  <si>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</si>
  <si>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</si>
  <si>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</si>
  <si>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Medium Moving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</si>
  <si>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</si>
  <si>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</si>
  <si>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</si>
  <si>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</si>
  <si>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</si>
  <si>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</si>
  <si>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</si>
  <si>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</si>
  <si>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</si>
  <si>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</si>
  <si>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</si>
  <si>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</si>
  <si>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</si>
  <si>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</si>
  <si>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</si>
  <si>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</si>
  <si>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</si>
  <si>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</si>
  <si>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</si>
  <si>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</si>
  <si>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</si>
  <si>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</si>
  <si>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</si>
  <si>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</si>
  <si>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</si>
  <si>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</si>
  <si>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</si>
  <si>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</si>
  <si>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</si>
  <si>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</si>
  <si>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</si>
  <si>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</si>
  <si>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</si>
  <si>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</si>
  <si>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</si>
  <si>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Slow Moving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</si>
  <si>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</si>
  <si>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</si>
  <si>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</si>
  <si>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</si>
  <si>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</si>
  <si>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</si>
  <si>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</si>
  <si>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</si>
  <si>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</si>
  <si>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</si>
  <si>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</si>
  <si>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</si>
  <si>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</si>
  <si>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</si>
  <si>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</si>
  <si>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New Product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</si>
  <si>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</si>
  <si>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</si>
  <si>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</si>
  <si>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</si>
  <si>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</si>
  <si>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</si>
  <si>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</si>
  <si>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</si>
  <si>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</si>
  <si>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Forecast_Accuracy</t>
  </si>
  <si>
    <t>Tracking_Signal</t>
  </si>
  <si>
    <t>AVERAGE of Forecast Accuracy</t>
  </si>
  <si>
    <t>MAX of Tracking Signal</t>
  </si>
  <si>
    <t>Grand Total</t>
  </si>
  <si>
    <t>MAPE</t>
  </si>
  <si>
    <t>AVERAGE of Percentage Error</t>
  </si>
  <si>
    <t>WAPE</t>
  </si>
  <si>
    <t>Total Absolute Error:</t>
  </si>
  <si>
    <t>Total Actual Demand:</t>
  </si>
  <si>
    <t>SUM of Bias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</si>
</sst>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201" sheet="Master_Data"/>
  </cacheSource>
  <cacheFields>
    <cacheField name="SKU" numFmtId="0">
      <sharedItems>
        <s v="SKU001"/>
        <s v="SKU002"/>
        <s v="SKU003"/>
        <s v="SKU004"/>
        <s v="SKU005"/>
        <s v="SKU006"/>
        <s v="SKU007"/>
        <s v="SKU008"/>
        <s v="SKU009"/>
        <s v="SKU010"/>
        <s v="SKU011"/>
        <s v="SKU012"/>
        <s v="SKU013"/>
        <s v="SKU014"/>
        <s v="SKU015"/>
        <s v="SKU016"/>
        <s v="SKU017"/>
        <s v="SKU018"/>
        <s v="SKU019"/>
        <s v="SKU020"/>
        <s v="SKU021"/>
        <s v="SKU022"/>
        <s v="SKU023"/>
        <s v="SKU024"/>
        <s v="SKU025"/>
        <s v="SKU026"/>
        <s v="SKU027"/>
        <s v="SKU028"/>
        <s v="SKU029"/>
        <s v="SKU030"/>
        <s v="SKU031"/>
        <s v="SKU032"/>
        <s v="SKU033"/>
        <s v="SKU034"/>
        <s v="SKU035"/>
        <s v="SKU036"/>
        <s v="SKU037"/>
        <s v="SKU038"/>
        <s v="SKU039"/>
        <s v="SKU040"/>
        <s v="SKU041"/>
        <s v="SKU042"/>
        <s v="SKU043"/>
        <s v="SKU044"/>
        <s v="SKU045"/>
        <s v="SKU046"/>
        <s v="SKU047"/>
        <s v="SKU048"/>
        <s v="SKU049"/>
        <s v="SKU050"/>
        <s v="SKU051"/>
        <s v="SKU052"/>
        <s v="SKU053"/>
        <s v="SKU054"/>
        <s v="SKU055"/>
        <s v="SKU056"/>
        <s v="SKU057"/>
        <s v="SKU058"/>
        <s v="SKU059"/>
        <s v="SKU060"/>
        <s v="SKU061"/>
        <s v="SKU062"/>
        <s v="SKU063"/>
        <s v="SKU064"/>
        <s v="SKU065"/>
        <s v="SKU066"/>
        <s v="SKU067"/>
        <s v="SKU068"/>
        <s v="SKU069"/>
        <s v="SKU070"/>
        <s v="SKU071"/>
        <s v="SKU072"/>
        <s v="SKU073"/>
        <s v="SKU074"/>
        <s v="SKU075"/>
        <s v="SKU076"/>
        <s v="SKU077"/>
        <s v="SKU078"/>
        <s v="SKU079"/>
        <s v="SKU080"/>
        <s v="SKU081"/>
        <s v="SKU082"/>
        <s v="SKU083"/>
        <s v="SKU084"/>
        <s v="SKU085"/>
        <s v="SKU086"/>
        <s v="SKU087"/>
        <s v="SKU088"/>
        <s v="SKU089"/>
        <s v="SKU090"/>
        <s v="SKU091"/>
        <s v="SKU092"/>
        <s v="SKU093"/>
        <s v="SKU094"/>
        <s v="SKU095"/>
        <s v="SKU096"/>
        <s v="SKU097"/>
        <s v="SKU098"/>
        <s v="SKU099"/>
        <s v="SKU100"/>
      </sharedItems>
    </cacheField>
    <cacheField name="Category" numFmtId="0">
      <sharedItems>
        <s v="Fast Moving"/>
        <s v="Medium Moving"/>
        <s v="Slow Moving"/>
        <s v="New Product"/>
      </sharedItems>
    </cacheField>
    <cacheField name="Month" numFmtId="0">
      <sharedItems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Actual_Demand" numFmtId="0">
      <sharedItems containsSemiMixedTypes="0" containsString="0" containsNumber="1" containsInteger="1">
        <n v="1751.0"/>
        <n v="2009.0"/>
        <n v="1928.0"/>
        <n v="2131.0"/>
        <n v="2387.0"/>
        <n v="2519.0"/>
        <n v="2259.0"/>
        <n v="2531.0"/>
        <n v="2151.0"/>
        <n v="2402.0"/>
        <n v="2177.0"/>
        <n v="2245.0"/>
        <n v="1670.0"/>
        <n v="1559.0"/>
        <n v="1663.0"/>
        <n v="1994.0"/>
        <n v="1755.0"/>
        <n v="1917.0"/>
        <n v="1865.0"/>
        <n v="1904.0"/>
        <n v="1777.0"/>
        <n v="1690.0"/>
        <n v="1526.0"/>
        <n v="1433.0"/>
        <n v="1591.0"/>
        <n v="1619.0"/>
        <n v="1810.0"/>
        <n v="1803.0"/>
        <n v="1794.0"/>
        <n v="1849.0"/>
        <n v="1688.0"/>
        <n v="1513.0"/>
        <n v="1620.0"/>
        <n v="1476.0"/>
        <n v="1665.0"/>
        <n v="1079.0"/>
        <n v="1220.0"/>
        <n v="1136.0"/>
        <n v="1156.0"/>
        <n v="1284.0"/>
        <n v="1338.0"/>
        <n v="1160.0"/>
        <n v="1265.0"/>
        <n v="1188.0"/>
        <n v="1102.0"/>
        <n v="966.0"/>
        <n v="931.0"/>
        <n v="1362.0"/>
        <n v="1398.0"/>
        <n v="1357.0"/>
        <n v="1533.0"/>
        <n v="1685.0"/>
        <n v="1549.0"/>
        <n v="1651.0"/>
        <n v="1599.0"/>
        <n v="1500.0"/>
        <n v="1499.0"/>
        <n v="1462.0"/>
        <n v="1353.0"/>
        <n v="1424.0"/>
        <n v="1395.0"/>
        <n v="1728.0"/>
        <n v="1657.0"/>
        <n v="1669.0"/>
        <n v="1929.0"/>
        <n v="1816.0"/>
        <n v="1694.0"/>
        <n v="1726.0"/>
        <n v="1523.0"/>
        <n v="1792.0"/>
        <n v="1508.0"/>
        <n v="1063.0"/>
        <n v="1108.0"/>
        <n v="1151.0"/>
        <n v="1182.0"/>
        <n v="1310.0"/>
        <n v="1192.0"/>
        <n v="1341.0"/>
        <n v="1166.0"/>
        <n v="1172.0"/>
        <n v="1204.0"/>
        <n v="1126.0"/>
        <n v="1216.0"/>
        <n v="1175.0"/>
        <n v="1415.0"/>
        <n v="1263.0"/>
        <n v="1489.0"/>
        <n v="1491.0"/>
        <n v="1346.0"/>
        <n v="1449.0"/>
        <n v="1254.0"/>
        <n v="1339.0"/>
        <n v="1294.0"/>
        <n v="1203.0"/>
        <n v="839.0"/>
        <n v="929.0"/>
        <n v="1096.0"/>
        <n v="955.0"/>
        <n v="1046.0"/>
        <n v="1229.0"/>
        <n v="1180.0"/>
        <n v="1125.0"/>
        <n v="1308.0"/>
        <n v="1302.0"/>
        <n v="1165.0"/>
        <n v="1511.0"/>
        <n v="1602.0"/>
        <n v="1813.0"/>
        <n v="1992.0"/>
        <n v="2059.0"/>
        <n v="1766.0"/>
        <n v="1981.0"/>
        <n v="2139.0"/>
        <n v="1790.0"/>
        <n v="1977.0"/>
        <n v="1707.0"/>
        <n v="1946.0"/>
        <n v="1434.0"/>
        <n v="1334.0"/>
        <n v="1581.0"/>
        <n v="1671.0"/>
        <n v="1710.0"/>
        <n v="1530.0"/>
        <n v="1518.0"/>
        <n v="1453.0"/>
        <n v="1466.0"/>
        <n v="1278.0"/>
        <n v="1423.0"/>
        <n v="1695.0"/>
        <n v="1754.0"/>
        <n v="1555.0"/>
        <n v="1805.0"/>
        <n v="2100.0"/>
        <n v="2013.0"/>
        <n v="1673.0"/>
        <n v="1966.0"/>
        <n v="1609.0"/>
        <n v="1606.0"/>
        <n v="1940.0"/>
        <n v="1845.0"/>
        <n v="1789.0"/>
        <n v="1982.0"/>
        <n v="2048.0"/>
        <n v="2190.0"/>
        <n v="1943.0"/>
        <n v="1774.0"/>
        <n v="1705.0"/>
        <n v="1542.0"/>
        <n v="1495.0"/>
        <n v="1781.0"/>
        <n v="1767.0"/>
        <n v="1942.0"/>
        <n v="2132.0"/>
        <n v="2098.0"/>
        <n v="2233.0"/>
        <n v="2260.0"/>
        <n v="1926.0"/>
        <n v="2283.0"/>
        <n v="2024.0"/>
        <n v="1836.0"/>
        <n v="1924.0"/>
        <n v="1742.0"/>
        <n v="1778.0"/>
        <n v="1848.0"/>
        <n v="1894.0"/>
        <n v="2282.0"/>
        <n v="2214.0"/>
        <n v="1838.0"/>
        <n v="2025.0"/>
        <n v="2050.0"/>
        <n v="1837.0"/>
        <n v="1226.0"/>
        <n v="1168.0"/>
        <n v="1352.0"/>
        <n v="1404.0"/>
        <n v="1497.0"/>
        <n v="1412.0"/>
        <n v="1547.0"/>
        <n v="1467.0"/>
        <n v="1320.0"/>
        <n v="1556.0"/>
        <n v="1373.0"/>
        <n v="1438.0"/>
        <n v="865.0"/>
        <n v="971.0"/>
        <n v="1042.0"/>
        <n v="938.0"/>
        <n v="965.0"/>
        <n v="1074.0"/>
        <n v="1082.0"/>
        <n v="1007.0"/>
        <n v="1057.0"/>
        <n v="935.0"/>
        <n v="921.0"/>
        <n v="1025.0"/>
        <n v="1918.0"/>
        <n v="2093.0"/>
        <n v="2188.0"/>
        <n v="2019.0"/>
        <n v="2267.0"/>
        <n v="2140.0"/>
        <n v="2030.0"/>
        <n v="2044.0"/>
        <n v="2080.0"/>
        <n v="2028.0"/>
        <n v="1775.0"/>
        <n v="1539.0"/>
        <n v="1650.0"/>
        <n v="1932.0"/>
        <n v="1761.0"/>
        <n v="1745.0"/>
        <n v="1853.0"/>
        <n v="2105.0"/>
        <n v="1786.0"/>
        <n v="1963.0"/>
        <n v="1637.0"/>
        <n v="1622.0"/>
        <n v="1829.0"/>
        <n v="2156.0"/>
        <n v="2102.0"/>
        <n v="1995.0"/>
        <n v="2185.0"/>
        <n v="2316.0"/>
        <n v="2244.0"/>
        <n v="1984.0"/>
        <n v="2061.0"/>
        <n v="1686.0"/>
        <n v="1749.0"/>
        <n v="975.0"/>
        <n v="1039.0"/>
        <n v="1153.0"/>
        <n v="1094.0"/>
        <n v="1152.0"/>
        <n v="1390.0"/>
        <n v="1473.0"/>
        <n v="1416.0"/>
        <n v="1296.0"/>
        <n v="1295.0"/>
        <n v="1205.0"/>
        <n v="1343.0"/>
        <n v="1446.0"/>
        <n v="1515.0"/>
        <n v="1411.0"/>
        <n v="1344.0"/>
        <n v="1507.0"/>
        <n v="1202.0"/>
        <n v="1245.0"/>
        <n v="1135.0"/>
        <n v="1345.0"/>
        <n v="1167.0"/>
        <n v="1087.0"/>
        <n v="1083.0"/>
        <n v="1185.0"/>
        <n v="1323.0"/>
        <n v="1348.0"/>
        <n v="1501.0"/>
        <n v="1509.0"/>
        <n v="1706.0"/>
        <n v="1732.0"/>
        <n v="1913.0"/>
        <n v="1915.0"/>
        <n v="1590.0"/>
        <n v="1875.0"/>
        <n v="1646.0"/>
        <n v="1783.0"/>
        <n v="1582.0"/>
        <n v="1601.0"/>
        <n v="1672.0"/>
        <n v="1550.0"/>
        <n v="1800.0"/>
        <n v="1877.0"/>
        <n v="1976.0"/>
        <n v="1759.0"/>
        <n v="1797.0"/>
        <n v="1723.0"/>
        <n v="1565.0"/>
        <n v="842.0"/>
        <n v="766.0"/>
        <n v="899.0"/>
        <n v="913.0"/>
        <n v="927.0"/>
        <n v="1033.0"/>
        <n v="1009.0"/>
        <n v="1041.0"/>
        <n v="901.0"/>
        <n v="912.0"/>
        <n v="897.0"/>
        <n v="1326.0"/>
        <n v="1652.0"/>
        <n v="1575.0"/>
        <n v="1427.0"/>
        <n v="1613.0"/>
        <n v="1738.0"/>
        <n v="1661.0"/>
        <n v="1617.0"/>
        <n v="1407.0"/>
        <n v="1417.0"/>
        <n v="882.0"/>
        <n v="944.0"/>
        <n v="1047.0"/>
        <n v="1031.0"/>
        <n v="1092.0"/>
        <n v="1261.0"/>
        <n v="1330.0"/>
        <n v="1304.0"/>
        <n v="1201.0"/>
        <n v="1709.0"/>
        <n v="1820.0"/>
        <n v="1653.0"/>
        <n v="1925.0"/>
        <n v="1830.0"/>
        <n v="1799.0"/>
        <n v="1876.0"/>
        <n v="1641.0"/>
        <n v="1607.0"/>
        <n v="1505.0"/>
        <n v="1351.0"/>
        <n v="1914.0"/>
        <n v="1978.0"/>
        <n v="2071.0"/>
        <n v="1908.0"/>
        <n v="2106.0"/>
        <n v="1953.0"/>
        <n v="1878.0"/>
        <n v="1839.0"/>
        <n v="1625.0"/>
        <n v="1962.0"/>
        <n v="1991.0"/>
        <n v="2031.0"/>
        <n v="2008.0"/>
        <n v="2303.0"/>
        <n v="2124.0"/>
        <n v="2401.0"/>
        <n v="2160.0"/>
        <n v="2049.0"/>
        <n v="2109.0"/>
        <n v="1947.0"/>
        <n v="1823.0"/>
        <n v="2235.0"/>
        <n v="2033.0"/>
        <n v="2155.0"/>
        <n v="2563.0"/>
        <n v="2510.0"/>
        <n v="2484.0"/>
        <n v="2507.0"/>
        <n v="2189.0"/>
        <n v="2518.0"/>
        <n v="1222.0"/>
        <n v="1285.0"/>
        <n v="1287.0"/>
        <n v="1421.0"/>
        <n v="1615.0"/>
        <n v="1753.0"/>
        <n v="1519.0"/>
        <n v="1698.0"/>
        <n v="1573.0"/>
        <n v="1442.0"/>
        <n v="1598.0"/>
        <n v="1693.0"/>
        <n v="1713.0"/>
        <n v="1552.0"/>
        <n v="1535.0"/>
        <n v="1592.0"/>
        <n v="1627.0"/>
        <n v="998.0"/>
        <n v="982.0"/>
        <n v="1198.0"/>
        <n v="1197.0"/>
        <n v="1098.0"/>
        <n v="1269.0"/>
        <n v="1317.0"/>
        <n v="1230.0"/>
        <n v="1076.0"/>
        <n v="992.0"/>
        <n v="1013.0"/>
        <n v="1568.0"/>
        <n v="1472.0"/>
        <n v="1569.0"/>
        <n v="1868.0"/>
        <n v="1969.0"/>
        <n v="2084.0"/>
        <n v="1725.0"/>
        <n v="1972.0"/>
        <n v="1680.0"/>
        <n v="1795.0"/>
        <n v="1270.0"/>
        <n v="1281.0"/>
        <n v="1557.0"/>
        <n v="1631.0"/>
        <n v="1600.0"/>
        <n v="1901.0"/>
        <n v="1744.0"/>
        <n v="1784.0"/>
        <n v="1886.0"/>
        <n v="922.0"/>
        <n v="917.0"/>
        <n v="934.0"/>
        <n v="946.0"/>
        <n v="996.0"/>
        <n v="1105.0"/>
        <n v="875.0"/>
        <n v="817.0"/>
        <n v="894.0"/>
        <n v="893.0"/>
        <n v="1428.0"/>
        <n v="1452.0"/>
        <n v="1640.0"/>
        <n v="1903.0"/>
        <n v="1655.0"/>
        <n v="1629.0"/>
        <n v="1145.0"/>
        <n v="1375.0"/>
        <n v="1382.0"/>
        <n v="1291.0"/>
        <n v="1551.0"/>
        <n v="1531.0"/>
        <n v="1643.0"/>
        <n v="1605.0"/>
        <n v="1249.0"/>
        <n v="1274.0"/>
        <n v="389.0"/>
        <n v="401.0"/>
        <n v="463.0"/>
        <n v="475.0"/>
        <n v="488.0"/>
        <n v="545.0"/>
        <n v="525.0"/>
        <n v="471.0"/>
        <n v="495.0"/>
        <n v="466.0"/>
        <n v="462.0"/>
        <n v="609.0"/>
        <n v="578.0"/>
        <n v="656.0"/>
        <n v="610.0"/>
        <n v="667.0"/>
        <n v="689.0"/>
        <n v="686.0"/>
        <n v="740.0"/>
        <n v="753.0"/>
        <n v="796.0"/>
        <n v="673.0"/>
        <n v="784.0"/>
        <n v="331.0"/>
        <n v="292.0"/>
        <n v="364.0"/>
        <n v="384.0"/>
        <n v="346.0"/>
        <n v="361.0"/>
        <n v="443.0"/>
        <n v="422.0"/>
        <n v="400.0"/>
        <n v="403.0"/>
        <n v="404.0"/>
        <n v="441.0"/>
        <n v="523.0"/>
        <n v="491.0"/>
        <n v="524.0"/>
        <n v="616.0"/>
        <n v="603.0"/>
        <n v="516.0"/>
        <n v="518.0"/>
        <n v="543.0"/>
        <n v="467.0"/>
        <n v="511.0"/>
        <n v="385.0"/>
        <n v="396.0"/>
        <n v="391.0"/>
        <n v="415.0"/>
        <n v="379.0"/>
        <n v="376.0"/>
        <n v="366.0"/>
        <n v="333.0"/>
        <n v="330.0"/>
        <n v="374.0"/>
        <n v="354.0"/>
        <n v="458.0"/>
        <n v="481.0"/>
        <n v="473.0"/>
        <n v="552.0"/>
        <n v="490.0"/>
        <n v="530.0"/>
        <n v="469.0"/>
        <n v="486.0"/>
        <n v="459.0"/>
        <n v="507.0"/>
        <n v="493.0"/>
        <n v="583.0"/>
        <n v="546.0"/>
        <n v="678.0"/>
        <n v="694.0"/>
        <n v="722.0"/>
        <n v="717.0"/>
        <n v="774.0"/>
        <n v="751.0"/>
        <n v="641.0"/>
        <n v="713.0"/>
        <n v="658.0"/>
        <n v="574.0"/>
        <n v="534.0"/>
        <n v="639.0"/>
        <n v="711.0"/>
        <n v="676.0"/>
        <n v="702.0"/>
        <n v="727.0"/>
        <n v="802.0"/>
        <n v="761.0"/>
        <n v="666.0"/>
        <n v="729.0"/>
        <n v="752.0"/>
        <n v="335.0"/>
        <n v="406.0"/>
        <n v="425.0"/>
        <n v="397.0"/>
        <n v="370.0"/>
        <n v="337.0"/>
        <n v="332.0"/>
        <n v="437.0"/>
        <n v="482.0"/>
        <n v="550.0"/>
        <n v="474.0"/>
        <n v="485.0"/>
        <n v="508.0"/>
        <n v="494.0"/>
        <n v="416.0"/>
        <n v="449.0"/>
        <n v="417.0"/>
        <n v="381.0"/>
        <n v="456.0"/>
        <n v="423.0"/>
        <n v="477.0"/>
        <n v="489.0"/>
        <n v="504.0"/>
        <n v="451.0"/>
        <n v="442.0"/>
        <n v="440.0"/>
        <n v="661.0"/>
        <n v="631.0"/>
        <n v="692.0"/>
        <n v="818.0"/>
        <n v="872.0"/>
        <n v="771.0"/>
        <n v="879.0"/>
        <n v="843.0"/>
        <n v="757.0"/>
        <n v="873.0"/>
        <n v="745.0"/>
        <n v="714.0"/>
        <n v="592.0"/>
        <n v="731.0"/>
        <n v="791.0"/>
        <n v="798.0"/>
        <n v="841.0"/>
        <n v="845.0"/>
        <n v="787.0"/>
        <n v="806.0"/>
        <n v="874.0"/>
        <n v="608.0"/>
        <n v="559.0"/>
        <n v="586.0"/>
        <n v="655.0"/>
        <n v="739.0"/>
        <n v="716.0"/>
        <n v="754.0"/>
        <n v="665.0"/>
        <n v="674.0"/>
        <n v="646.0"/>
        <n v="682.0"/>
        <n v="510.0"/>
        <n v="582.0"/>
        <n v="538.0"/>
        <n v="580.0"/>
        <n v="587.0"/>
        <n v="590.0"/>
        <n v="579.0"/>
        <n v="537.0"/>
        <n v="577.0"/>
        <n v="280.0"/>
        <n v="273.0"/>
        <n v="338.0"/>
        <n v="284.0"/>
        <n v="328.0"/>
        <n v="321.0"/>
        <n v="310.0"/>
        <n v="271.0"/>
        <n v="274.0"/>
        <n v="261.0"/>
        <n v="293.0"/>
        <n v="520.0"/>
        <n v="622.0"/>
        <n v="526.0"/>
        <n v="636.0"/>
        <n v="637.0"/>
        <n v="650.0"/>
        <n v="601.0"/>
        <n v="591.0"/>
        <n v="492.0"/>
        <n v="399.0"/>
        <n v="418.0"/>
        <n v="464.0"/>
        <n v="498.0"/>
        <n v="476.0"/>
        <n v="480.0"/>
        <n v="515.0"/>
        <n v="827.0"/>
        <n v="915.0"/>
        <n v="948.0"/>
        <n v="856.0"/>
        <n v="902.0"/>
        <n v="909.0"/>
        <n v="933.0"/>
        <n v="887.0"/>
        <n v="788.0"/>
        <n v="651.0"/>
        <n v="660.0"/>
        <n v="773.0"/>
        <n v="734.0"/>
        <n v="832.0"/>
        <n v="776.0"/>
        <n v="809.0"/>
        <n v="294.0"/>
        <n v="324.0"/>
        <n v="371.0"/>
        <n v="395.0"/>
        <n v="382.0"/>
        <n v="375.0"/>
        <n v="663.0"/>
        <n v="720.0"/>
        <n v="840.0"/>
        <n v="860.0"/>
        <n v="907.0"/>
        <n v="822.0"/>
        <n v="880.0"/>
        <n v="920.0"/>
        <n v="350.0"/>
        <n v="362.0"/>
        <n v="368.0"/>
        <n v="414.0"/>
        <n v="452.0"/>
        <n v="470.0"/>
        <n v="461.0"/>
        <n v="433.0"/>
        <n v="388.0"/>
        <n v="453.0"/>
        <n v="450.0"/>
        <n v="478.0"/>
        <n v="413.0"/>
        <n v="434.0"/>
        <n v="387.0"/>
        <n v="499.0"/>
        <n v="505.0"/>
        <n v="619.0"/>
        <n v="519.0"/>
        <n v="541.0"/>
        <n v="531.0"/>
        <n v="815.0"/>
        <n v="780.0"/>
        <n v="849.0"/>
        <n v="949.0"/>
        <n v="1054.0"/>
        <n v="1069.0"/>
        <n v="1124.0"/>
        <n v="1055.0"/>
        <n v="939.0"/>
        <n v="918.0"/>
        <n v="281.0"/>
        <n v="358.0"/>
        <n v="313.0"/>
        <n v="352.0"/>
        <n v="326.0"/>
        <n v="327.0"/>
        <n v="329.0"/>
        <n v="279.0"/>
        <n v="777.0"/>
        <n v="769.0"/>
        <n v="844.0"/>
        <n v="781.0"/>
        <n v="835.0"/>
        <n v="779.0"/>
        <n v="794.0"/>
        <n v="816.0"/>
        <n v="715.0"/>
        <n v="633.0"/>
        <n v="427.0"/>
        <n v="448.0"/>
        <n v="500.0"/>
        <n v="548.0"/>
        <n v="554.0"/>
        <n v="556.0"/>
        <n v="570.0"/>
        <n v="606.0"/>
        <n v="605.0"/>
        <n v="662.0"/>
        <n v="652.0"/>
        <n v="630.0"/>
        <n v="635.0"/>
        <n v="629.0"/>
        <n v="557.0"/>
        <n v="431.0"/>
        <n v="483.0"/>
        <n v="502.0"/>
        <n v="468.0"/>
        <n v="455.0"/>
        <n v="367.0"/>
        <n v="547.0"/>
        <n v="596.0"/>
        <n v="575.0"/>
        <n v="625.0"/>
        <n v="561.0"/>
        <n v="593.0"/>
        <n v="627.0"/>
        <n v="528.0"/>
        <n v="861.0"/>
        <n v="961.0"/>
        <n v="928.0"/>
        <n v="866.0"/>
        <n v="1034.0"/>
        <n v="973.0"/>
        <n v="854.0"/>
        <n v="848.0"/>
        <n v="821.0"/>
        <n v="825.0"/>
        <n v="862.0"/>
        <n v="767.0"/>
        <n v="850.0"/>
        <n v="356.0"/>
        <n v="465.0"/>
        <n v="501.0"/>
        <n v="118.0"/>
        <n v="121.0"/>
        <n v="127.0"/>
        <n v="135.0"/>
        <n v="129.0"/>
        <n v="139.0"/>
        <n v="130.0"/>
        <n v="147.0"/>
        <n v="140.0"/>
        <n v="125.0"/>
        <n v="116.0"/>
        <n v="286.0"/>
        <n v="298.0"/>
        <n v="341.0"/>
        <n v="336.0"/>
        <n v="322.0"/>
        <n v="295.0"/>
        <n v="311.0"/>
        <n v="312.0"/>
        <n v="306.0"/>
        <n v="276.0"/>
        <n v="285.0"/>
        <n v="314.0"/>
        <n v="349.0"/>
        <n v="320.0"/>
        <n v="309.0"/>
        <n v="187.0"/>
        <n v="193.0"/>
        <n v="190.0"/>
        <n v="179.0"/>
        <n v="188.0"/>
        <n v="203.0"/>
        <n v="227.0"/>
        <n v="210.0"/>
        <n v="194.0"/>
        <n v="171.0"/>
        <n v="176.0"/>
        <n v="196.0"/>
        <n v="163.0"/>
        <n v="212.0"/>
        <n v="184.0"/>
        <n v="229.0"/>
        <n v="252.0"/>
        <n v="221.0"/>
        <n v="230.0"/>
        <n v="222.0"/>
        <n v="232.0"/>
        <n v="198.0"/>
        <n v="101.0"/>
        <n v="110.0"/>
        <n v="103.0"/>
        <n v="126.0"/>
        <n v="113.0"/>
        <n v="124.0"/>
        <n v="137.0"/>
        <n v="134.0"/>
        <n v="268.0"/>
        <n v="266.0"/>
        <n v="300.0"/>
        <n v="262.0"/>
        <n v="254.0"/>
        <n v="269.0"/>
        <n v="145.0"/>
        <n v="132.0"/>
        <n v="160.0"/>
        <n v="146.0"/>
        <n v="167.0"/>
        <n v="183.0"/>
        <n v="168.0"/>
        <n v="169.0"/>
        <n v="153.0"/>
        <n v="161.0"/>
        <n v="67.0"/>
        <n v="82.0"/>
        <n v="79.0"/>
        <n v="96.0"/>
        <n v="97.0"/>
        <n v="90.0"/>
        <n v="83.0"/>
        <n v="92.0"/>
        <n v="78.0"/>
        <n v="84.0"/>
        <n v="88.0"/>
        <n v="93.0"/>
        <n v="99.0"/>
        <n v="86.0"/>
        <n v="304.0"/>
        <n v="317.0"/>
        <n v="339.0"/>
        <n v="347.0"/>
        <n v="342.0"/>
        <n v="365.0"/>
        <n v="302.0"/>
        <n v="305.0"/>
        <n v="340.0"/>
        <n v="53.0"/>
        <n v="64.0"/>
        <n v="63.0"/>
        <n v="66.0"/>
        <n v="73.0"/>
        <n v="72.0"/>
        <n v="74.0"/>
        <n v="80.0"/>
        <n v="75.0"/>
        <n v="233.0"/>
        <n v="247.0"/>
        <n v="246.0"/>
        <n v="245.0"/>
        <n v="244.0"/>
        <n v="288.0"/>
        <n v="264.0"/>
        <n v="255.0"/>
        <n v="238.0"/>
        <n v="174.0"/>
        <n v="180.0"/>
        <n v="192.0"/>
        <n v="200.0"/>
        <n v="220.0"/>
        <n v="197.0"/>
        <n v="177.0"/>
        <n v="191.0"/>
        <n v="185.0"/>
        <n v="162.0"/>
        <n v="164.0"/>
        <n v="182.0"/>
        <n v="202.0"/>
        <n v="159.0"/>
        <n v="158.0"/>
        <n v="242.0"/>
        <n v="248.0"/>
        <n v="278.0"/>
        <n v="260.0"/>
        <n v="253.0"/>
        <n v="348.0"/>
        <n v="380.0"/>
        <n v="405.0"/>
        <n v="402.0"/>
        <n v="421.0"/>
        <n v="439.0"/>
        <n v="411.0"/>
        <n v="419.0"/>
        <n v="572.0"/>
        <n v="696.0"/>
        <n v="165.0"/>
        <n v="172.0"/>
        <n v="178.0"/>
        <n v="173.0"/>
        <n v="156.0"/>
        <n v="372.0"/>
        <n v="394.0"/>
        <n v="386.0"/>
        <n v="344.0"/>
        <n v="334.0"/>
        <n v="357.0"/>
        <n v="316.0"/>
        <n v="393.0"/>
        <n v="479.0"/>
        <n v="542.0"/>
        <n v="426.0"/>
        <n v="297.0"/>
        <n v="383.0"/>
      </sharedItems>
    </cacheField>
    <cacheField name="Forecast_Demand" numFmtId="0">
      <sharedItems containsSemiMixedTypes="0" containsString="0" containsNumber="1" containsInteger="1">
        <n v="1741.0"/>
        <n v="1891.0"/>
        <n v="1819.0"/>
        <n v="1902.0"/>
        <n v="2098.0"/>
        <n v="2569.0"/>
        <n v="2323.0"/>
        <n v="2449.0"/>
        <n v="1879.0"/>
        <n v="2243.0"/>
        <n v="2233.0"/>
        <n v="1985.0"/>
        <n v="1611.0"/>
        <n v="1507.0"/>
        <n v="1464.0"/>
        <n v="2042.0"/>
        <n v="1831.0"/>
        <n v="1718.0"/>
        <n v="1705.0"/>
        <n v="1632.0"/>
        <n v="1735.0"/>
        <n v="1634.0"/>
        <n v="1618.0"/>
        <n v="1564.0"/>
        <n v="1530.0"/>
        <n v="1546.0"/>
        <n v="1624.0"/>
        <n v="1909.0"/>
        <n v="1814.0"/>
        <n v="1927.0"/>
        <n v="1782.0"/>
        <n v="1597.0"/>
        <n v="1494.0"/>
        <n v="1566.0"/>
        <n v="1404.0"/>
        <n v="1742.0"/>
        <n v="980.0"/>
        <n v="1207.0"/>
        <n v="1022.0"/>
        <n v="1088.0"/>
        <n v="1273.0"/>
        <n v="1291.0"/>
        <n v="1164.0"/>
        <n v="1239.0"/>
        <n v="1151.0"/>
        <n v="1056.0"/>
        <n v="876.0"/>
        <n v="923.0"/>
        <n v="1242.0"/>
        <n v="1364.0"/>
        <n v="1412.0"/>
        <n v="1534.0"/>
        <n v="1667.0"/>
        <n v="1527.0"/>
        <n v="1649.0"/>
        <n v="1551.0"/>
        <n v="1452.0"/>
        <n v="1280.0"/>
        <n v="1317.0"/>
        <n v="1316.0"/>
        <n v="1627.0"/>
        <n v="1661.0"/>
        <n v="1744.0"/>
        <n v="1794.0"/>
        <n v="1703.0"/>
        <n v="1517.0"/>
        <n v="1674.0"/>
        <n v="1423.0"/>
        <n v="1663.0"/>
        <n v="1460.0"/>
        <n v="965.0"/>
        <n v="1029.0"/>
        <n v="1118.0"/>
        <n v="1045.0"/>
        <n v="1206.0"/>
        <n v="1044.0"/>
        <n v="1312.0"/>
        <n v="1109.0"/>
        <n v="1140.0"/>
        <n v="1133.0"/>
        <n v="1227.0"/>
        <n v="1041.0"/>
        <n v="1314.0"/>
        <n v="1172.0"/>
        <n v="1489.0"/>
        <n v="1426.0"/>
        <n v="1577.0"/>
        <n v="1491.0"/>
        <n v="1456.0"/>
        <n v="1604.0"/>
        <n v="1394.0"/>
        <n v="1499.0"/>
        <n v="1393.0"/>
        <n v="1238.0"/>
        <n v="770.0"/>
        <n v="874.0"/>
        <n v="984.0"/>
        <n v="906.0"/>
        <n v="971.0"/>
        <n v="1210.0"/>
        <n v="1129.0"/>
        <n v="1185.0"/>
        <n v="1084.0"/>
        <n v="1223.0"/>
        <n v="1640.0"/>
        <n v="1560.0"/>
        <n v="1809.0"/>
        <n v="2236.0"/>
        <n v="2119.0"/>
        <n v="1975.0"/>
        <n v="2227.0"/>
        <n v="2366.0"/>
        <n v="1846.0"/>
        <n v="2017.0"/>
        <n v="1807.0"/>
        <n v="2104.0"/>
        <n v="1589.0"/>
        <n v="1377.0"/>
        <n v="1708.0"/>
        <n v="1679.0"/>
        <n v="1506.0"/>
        <n v="1804.0"/>
        <n v="1874.0"/>
        <n v="1576.0"/>
        <n v="1599.0"/>
        <n v="1565.0"/>
        <n v="1471.0"/>
        <n v="1233.0"/>
        <n v="1702.0"/>
        <n v="1596.0"/>
        <n v="1428.0"/>
        <n v="1664.0"/>
        <n v="1805.0"/>
        <n v="1980.0"/>
        <n v="1813.0"/>
        <n v="1935.0"/>
        <n v="1502.0"/>
        <n v="1644.0"/>
        <n v="1903.0"/>
        <n v="1656.0"/>
        <n v="1628.0"/>
        <n v="1950.0"/>
        <n v="1873.0"/>
        <n v="2163.0"/>
        <n v="1880.0"/>
        <n v="1613.0"/>
        <n v="1690.0"/>
        <n v="1370.0"/>
        <n v="1310.0"/>
        <n v="1496.0"/>
        <n v="1684.0"/>
        <n v="1659.0"/>
        <n v="1870.0"/>
        <n v="2035.0"/>
        <n v="2248.0"/>
        <n v="2025.0"/>
        <n v="1834.0"/>
        <n v="2196.0"/>
        <n v="1969.0"/>
        <n v="1747.0"/>
        <n v="1991.0"/>
        <n v="1569.0"/>
        <n v="1587.0"/>
        <n v="2039.0"/>
        <n v="2070.0"/>
        <n v="1840.0"/>
        <n v="2086.0"/>
        <n v="2088.0"/>
        <n v="1687.0"/>
        <n v="1234.0"/>
        <n v="1086.0"/>
        <n v="1390.0"/>
        <n v="1303.0"/>
        <n v="1509.0"/>
        <n v="1342.0"/>
        <n v="1375.0"/>
        <n v="1186.0"/>
        <n v="1595.0"/>
        <n v="1432.0"/>
        <n v="884.0"/>
        <n v="1058.0"/>
        <n v="1142.0"/>
        <n v="1020.0"/>
        <n v="1194.0"/>
        <n v="1069.0"/>
        <n v="1099.0"/>
        <n v="1042.0"/>
        <n v="1011.0"/>
        <n v="1014.0"/>
        <n v="1007.0"/>
        <n v="2125.0"/>
        <n v="2109.0"/>
        <n v="2329.0"/>
        <n v="2187.0"/>
        <n v="2289.0"/>
        <n v="2224.0"/>
        <n v="2100.0"/>
        <n v="2225.0"/>
        <n v="2291.0"/>
        <n v="2188.0"/>
        <n v="1835.0"/>
        <n v="1536.0"/>
        <n v="1707.0"/>
        <n v="1446.0"/>
        <n v="1964.0"/>
        <n v="1728.0"/>
        <n v="1699.0"/>
        <n v="2066.0"/>
        <n v="1764.0"/>
        <n v="2008.0"/>
        <n v="1498.0"/>
        <n v="1877.0"/>
        <n v="1894.0"/>
        <n v="2431.0"/>
        <n v="2219.0"/>
        <n v="2194.0"/>
        <n v="2176.0"/>
        <n v="2551.0"/>
        <n v="2437.0"/>
        <n v="2057.0"/>
        <n v="2284.0"/>
        <n v="1642.0"/>
        <n v="1923.0"/>
        <n v="1062.0"/>
        <n v="1037.0"/>
        <n v="997.0"/>
        <n v="1039.0"/>
        <n v="1355.0"/>
        <n v="1526.0"/>
        <n v="1424.0"/>
        <n v="1353.0"/>
        <n v="1195.0"/>
        <n v="1334.0"/>
        <n v="1190.0"/>
        <n v="1414.0"/>
        <n v="1522.0"/>
        <n v="1622.0"/>
        <n v="1731.0"/>
        <n v="1399.0"/>
        <n v="1379.0"/>
        <n v="1556.0"/>
        <n v="1602.0"/>
        <n v="1077.0"/>
        <n v="1168.0"/>
        <n v="1170.0"/>
        <n v="1161.0"/>
        <n v="1383.0"/>
        <n v="1282.0"/>
        <n v="1122.0"/>
        <n v="1054.0"/>
        <n v="1052.0"/>
        <n v="1160.0"/>
        <n v="1196.0"/>
        <n v="1218.0"/>
        <n v="1236.0"/>
        <n v="1378.0"/>
        <n v="1372.0"/>
        <n v="1574.0"/>
        <n v="1680.0"/>
        <n v="1714.0"/>
        <n v="1896.0"/>
        <n v="1637.0"/>
        <n v="1677.0"/>
        <n v="1639.0"/>
        <n v="1562.0"/>
        <n v="1657.0"/>
        <n v="1605.0"/>
        <n v="1505.0"/>
        <n v="1953.0"/>
        <n v="1792.0"/>
        <n v="1989.0"/>
        <n v="1700.0"/>
        <n v="1759.0"/>
        <n v="1868.0"/>
        <n v="1572.0"/>
        <n v="883.0"/>
        <n v="808.0"/>
        <n v="979.0"/>
        <n v="904.0"/>
        <n v="953.0"/>
        <n v="1096.0"/>
        <n v="1137.0"/>
        <n v="1049.0"/>
        <n v="896.0"/>
        <n v="926.0"/>
        <n v="998.0"/>
        <n v="1367.0"/>
        <n v="1756.0"/>
        <n v="1535.0"/>
        <n v="1670.0"/>
        <n v="1798.0"/>
        <n v="1654.0"/>
        <n v="1671.0"/>
        <n v="1403.0"/>
        <n v="1453.0"/>
        <n v="1323.0"/>
        <n v="851.0"/>
        <n v="889.0"/>
        <n v="1002.0"/>
        <n v="1009.0"/>
        <n v="948.0"/>
        <n v="970.0"/>
        <n v="1219.0"/>
        <n v="1179.0"/>
        <n v="1290.0"/>
        <n v="1228.0"/>
        <n v="1225.0"/>
        <n v="1222.0"/>
        <n v="1769.0"/>
        <n v="1638.0"/>
        <n v="1810.0"/>
        <n v="1828.0"/>
        <n v="1806.0"/>
        <n v="1856.0"/>
        <n v="1575.0"/>
        <n v="1521.0"/>
        <n v="1467.0"/>
        <n v="1251.0"/>
        <n v="2010.0"/>
        <n v="1696.0"/>
        <n v="2075.0"/>
        <n v="2105.0"/>
        <n v="1888.0"/>
        <n v="2011.0"/>
        <n v="2093.0"/>
        <n v="1955.0"/>
        <n v="1817.0"/>
        <n v="1784.0"/>
        <n v="1751.0"/>
        <n v="2031.0"/>
        <n v="2052.0"/>
        <n v="1905.0"/>
        <n v="2333.0"/>
        <n v="2111.0"/>
        <n v="2267.0"/>
        <n v="2162.0"/>
        <n v="2254.0"/>
        <n v="2085.0"/>
        <n v="1697.0"/>
        <n v="1688.0"/>
        <n v="2381.0"/>
        <n v="1947.0"/>
        <n v="2046.0"/>
        <n v="2494.0"/>
        <n v="2297.0"/>
        <n v="2461.0"/>
        <n v="2548.0"/>
        <n v="2159.0"/>
        <n v="2688.0"/>
        <n v="1131.0"/>
        <n v="1248.0"/>
        <n v="1472.0"/>
        <n v="1447.0"/>
        <n v="1440.0"/>
        <n v="1548.0"/>
        <n v="1601.0"/>
        <n v="1647.0"/>
        <n v="1416.0"/>
        <n v="1479.0"/>
        <n v="1427.0"/>
        <n v="1500.0"/>
        <n v="1497.0"/>
        <n v="1734.0"/>
        <n v="1568.0"/>
        <n v="1586.0"/>
        <n v="1620.0"/>
        <n v="1748.0"/>
        <n v="1554.0"/>
        <n v="1025.0"/>
        <n v="919.0"/>
        <n v="1136.0"/>
        <n v="1146.0"/>
        <n v="1341.0"/>
        <n v="1295.0"/>
        <n v="1171.0"/>
        <n v="1144.0"/>
        <n v="936.0"/>
        <n v="987.0"/>
        <n v="1520.0"/>
        <n v="1474.0"/>
        <n v="1373.0"/>
        <n v="1668.0"/>
        <n v="1733.0"/>
        <n v="2073.0"/>
        <n v="1864.0"/>
        <n v="1591.0"/>
        <n v="1774.0"/>
        <n v="1716.0"/>
        <n v="1139.0"/>
        <n v="1413.0"/>
        <n v="1588.0"/>
        <n v="1919.0"/>
        <n v="1767.0"/>
        <n v="887.0"/>
        <n v="912.0"/>
        <n v="913.0"/>
        <n v="994.0"/>
        <n v="1051.0"/>
        <n v="879.0"/>
        <n v="914.0"/>
        <n v="841.0"/>
        <n v="897.0"/>
        <n v="863.0"/>
        <n v="1392.0"/>
        <n v="1437.0"/>
        <n v="1260.0"/>
        <n v="1488.0"/>
        <n v="1330.0"/>
        <n v="1669.0"/>
        <n v="1501.0"/>
        <n v="1609.0"/>
        <n v="1590.0"/>
        <n v="1476.0"/>
        <n v="1305.0"/>
        <n v="1435.0"/>
        <n v="1481.0"/>
        <n v="1766.0"/>
        <n v="1598.0"/>
        <n v="1411.0"/>
        <n v="1268.0"/>
        <n v="382.0"/>
        <n v="409.0"/>
        <n v="468.0"/>
        <n v="508.0"/>
        <n v="477.0"/>
        <n v="531.0"/>
        <n v="602.0"/>
        <n v="426.0"/>
        <n v="559.0"/>
        <n v="397.0"/>
        <n v="408.0"/>
        <n v="459.0"/>
        <n v="688.0"/>
        <n v="593.0"/>
        <n v="637.0"/>
        <n v="613.0"/>
        <n v="659.0"/>
        <n v="628.0"/>
        <n v="820.0"/>
        <n v="751.0"/>
        <n v="727.0"/>
        <n v="690.0"/>
        <n v="927.0"/>
        <n v="355.0"/>
        <n v="283.0"/>
        <n v="334.0"/>
        <n v="340.0"/>
        <n v="333.0"/>
        <n v="410.0"/>
        <n v="482.0"/>
        <n v="386.0"/>
        <n v="411.0"/>
        <n v="374.0"/>
        <n v="402.0"/>
        <n v="493.0"/>
        <n v="452.0"/>
        <n v="509.0"/>
        <n v="522.0"/>
        <n v="439.0"/>
        <n v="661.0"/>
        <n v="642.0"/>
        <n v="582.0"/>
        <n v="476.0"/>
        <n v="454.0"/>
        <n v="515.0"/>
        <n v="404.0"/>
        <n v="420.0"/>
        <n v="398.0"/>
        <n v="416.0"/>
        <n v="407.0"/>
        <n v="456.0"/>
        <n v="451.0"/>
        <n v="351.0"/>
        <n v="368.0"/>
        <n v="424.0"/>
        <n v="362.0"/>
        <n v="377.0"/>
        <n v="381.0"/>
        <n v="312.0"/>
        <n v="434.0"/>
        <n v="552.0"/>
        <n v="506.0"/>
        <n v="601.0"/>
        <n v="534.0"/>
        <n v="600.0"/>
        <n v="529.0"/>
        <n v="577.0"/>
        <n v="500.0"/>
        <n v="471.0"/>
        <n v="545.0"/>
        <n v="549.0"/>
        <n v="449.0"/>
        <n v="743.0"/>
        <n v="648.0"/>
        <n v="706.0"/>
        <n v="587.0"/>
        <n v="705.0"/>
        <n v="657.0"/>
        <n v="543.0"/>
        <n v="772.0"/>
        <n v="695.0"/>
        <n v="578.0"/>
        <n v="614.0"/>
        <n v="786.0"/>
        <n v="752.0"/>
        <n v="699.0"/>
        <n v="804.0"/>
        <n v="722.0"/>
        <n v="592.0"/>
        <n v="768.0"/>
        <n v="273.0"/>
        <n v="313.0"/>
        <n v="302.0"/>
        <n v="360.0"/>
        <n v="463.0"/>
        <n v="356.0"/>
        <n v="347.0"/>
        <n v="321.0"/>
        <n v="331.0"/>
        <n v="329.0"/>
        <n v="363.0"/>
        <n v="444.0"/>
        <n v="524.0"/>
        <n v="623.0"/>
        <n v="494.0"/>
        <n v="551.0"/>
        <n v="527.0"/>
        <n v="415.0"/>
        <n v="379.0"/>
        <n v="435.0"/>
        <n v="393.0"/>
        <n v="520.0"/>
        <n v="473.0"/>
        <n v="571.0"/>
        <n v="489.0"/>
        <n v="446.0"/>
        <n v="739.0"/>
        <n v="579.0"/>
        <n v="655.0"/>
        <n v="789.0"/>
        <n v="872.0"/>
        <n v="922.0"/>
        <n v="940.0"/>
        <n v="907.0"/>
        <n v="956.0"/>
        <n v="822.0"/>
        <n v="649.0"/>
        <n v="673.0"/>
        <n v="726.0"/>
        <n v="782.0"/>
        <n v="792.0"/>
        <n v="801.0"/>
        <n v="720.0"/>
        <n v="867.0"/>
        <n v="941.0"/>
        <n v="969.0"/>
        <n v="753.0"/>
        <n v="797.0"/>
        <n v="666.0"/>
        <n v="677.0"/>
        <n v="638.0"/>
        <n v="763.0"/>
        <n v="721.0"/>
        <n v="715.0"/>
        <n v="846.0"/>
        <n v="729.0"/>
        <n v="762.0"/>
        <n v="769.0"/>
        <n v="662.0"/>
        <n v="438.0"/>
        <n v="521.0"/>
        <n v="502.0"/>
        <n v="537.0"/>
        <n v="619.0"/>
        <n v="562.0"/>
        <n v="445.0"/>
        <n v="406.0"/>
        <n v="266.0"/>
        <n v="230.0"/>
        <n v="308.0"/>
        <n v="306.0"/>
        <n v="310.0"/>
        <n v="219.0"/>
        <n v="277.0"/>
        <n v="261.0"/>
        <n v="242.0"/>
        <n v="548.0"/>
        <n v="519.0"/>
        <n v="567.0"/>
        <n v="650.0"/>
        <n v="591.0"/>
        <n v="497.0"/>
        <n v="483.0"/>
        <n v="395.0"/>
        <n v="492.0"/>
        <n v="421.0"/>
        <n v="450.0"/>
        <n v="428.0"/>
        <n v="723.0"/>
        <n v="818.0"/>
        <n v="939.0"/>
        <n v="1028.0"/>
        <n v="836.0"/>
        <n v="862.0"/>
        <n v="895.0"/>
        <n v="993.0"/>
        <n v="972.0"/>
        <n v="967.0"/>
        <n v="491.0"/>
        <n v="570.0"/>
        <n v="588.0"/>
        <n v="733.0"/>
        <n v="691.0"/>
        <n v="687.0"/>
        <n v="316.0"/>
        <n v="263.0"/>
        <n v="361.0"/>
        <n v="403.0"/>
        <n v="344.0"/>
        <n v="417.0"/>
        <n v="315.0"/>
        <n v="389.0"/>
        <n v="314.0"/>
        <n v="676.0"/>
        <n v="581.0"/>
        <n v="824.0"/>
        <n v="747.0"/>
        <n v="829.0"/>
        <n v="886.0"/>
        <n v="771.0"/>
        <n v="335.0"/>
        <n v="383.0"/>
        <n v="364.0"/>
        <n v="467.0"/>
        <n v="499.0"/>
        <n v="422.0"/>
        <n v="370.0"/>
        <n v="392.0"/>
        <n v="432.0"/>
        <n v="369.0"/>
        <n v="388.0"/>
        <n v="387.0"/>
        <n v="453.0"/>
        <n v="490.0"/>
        <n v="564.0"/>
        <n v="568.0"/>
        <n v="533.0"/>
        <n v="574.0"/>
        <n v="885.0"/>
        <n v="681.0"/>
        <n v="765.0"/>
        <n v="905.0"/>
        <n v="1098.0"/>
        <n v="951.0"/>
        <n v="1266.0"/>
        <n v="1065.0"/>
        <n v="952.0"/>
        <n v="976.0"/>
        <n v="901.0"/>
        <n v="787.0"/>
        <n v="295.0"/>
        <n v="292.0"/>
        <n v="348.0"/>
        <n v="258.0"/>
        <n v="336.0"/>
        <n v="288.0"/>
        <n v="342.0"/>
        <n v="299.0"/>
        <n v="270.0"/>
        <n v="294.0"/>
        <n v="674.0"/>
        <n v="873.0"/>
        <n v="810.0"/>
        <n v="816.0"/>
        <n v="869.0"/>
        <n v="773.0"/>
        <n v="671.0"/>
        <n v="710.0"/>
        <n v="469.0"/>
        <n v="437.0"/>
        <n v="464.0"/>
        <n v="547.0"/>
        <n v="554.0"/>
        <n v="536.0"/>
        <n v="470.0"/>
        <n v="443.0"/>
        <n v="580.0"/>
        <n v="615.0"/>
        <n v="669.0"/>
        <n v="544.0"/>
        <n v="618.0"/>
        <n v="523.0"/>
        <n v="576.0"/>
        <n v="462.0"/>
        <n v="555.0"/>
        <n v="461.0"/>
        <n v="412.0"/>
        <n v="475.0"/>
        <n v="319.0"/>
        <n v="485.0"/>
        <n v="584.0"/>
        <n v="589.0"/>
        <n v="505.0"/>
        <n v="546.0"/>
        <n v="599.0"/>
        <n v="832.0"/>
        <n v="1080.0"/>
        <n v="944.0"/>
        <n v="1008.0"/>
        <n v="900.0"/>
        <n v="631.0"/>
        <n v="728.0"/>
        <n v="678.0"/>
        <n v="845.0"/>
        <n v="826.0"/>
        <n v="899.0"/>
        <n v="866.0"/>
        <n v="838.0"/>
        <n v="458.0"/>
        <n v="400.0"/>
        <n v="488.0"/>
        <n v="538.0"/>
        <n v="414.0"/>
        <n v="88.0"/>
        <n v="121.0"/>
        <n v="129.0"/>
        <n v="151.0"/>
        <n v="146.0"/>
        <n v="105.0"/>
        <n v="115.0"/>
        <n v="157.0"/>
        <n v="137.0"/>
        <n v="102.0"/>
        <n v="117.0"/>
        <n v="96.0"/>
        <n v="339.0"/>
        <n v="259.0"/>
        <n v="290.0"/>
        <n v="239.0"/>
        <n v="304.0"/>
        <n v="371.0"/>
        <n v="286.0"/>
        <n v="281.0"/>
        <n v="349.0"/>
        <n v="240.0"/>
        <n v="243.0"/>
        <n v="235.0"/>
        <n v="251.0"/>
        <n v="187.0"/>
        <n v="156.0"/>
        <n v="220.0"/>
        <n v="196.0"/>
        <n v="193.0"/>
        <n v="179.0"/>
        <n v="264.0"/>
        <n v="169.0"/>
        <n v="201.0"/>
        <n v="178.0"/>
        <n v="149.0"/>
        <n v="215.0"/>
        <n v="204.0"/>
        <n v="166.0"/>
        <n v="234.0"/>
        <n v="217.0"/>
        <n v="225.0"/>
        <n v="191.0"/>
        <n v="223.0"/>
        <n v="214.0"/>
        <n v="101.0"/>
        <n v="108.0"/>
        <n v="134.0"/>
        <n v="112.0"/>
        <n v="119.0"/>
        <n v="145.0"/>
        <n v="165.0"/>
        <n v="158.0"/>
        <n v="189.0"/>
        <n v="210.0"/>
        <n v="237.0"/>
        <n v="216.0"/>
        <n v="257.0"/>
        <n v="272.0"/>
        <n v="296.0"/>
        <n v="253.0"/>
        <n v="213.0"/>
        <n v="118.0"/>
        <n v="111.0"/>
        <n v="172.0"/>
        <n v="141.0"/>
        <n v="132.0"/>
        <n v="207.0"/>
        <n v="198.0"/>
        <n v="180.0"/>
        <n v="182.0"/>
        <n v="133.0"/>
        <n v="47.0"/>
        <n v="65.0"/>
        <n v="93.0"/>
        <n v="69.0"/>
        <n v="72.0"/>
        <n v="74.0"/>
        <n v="109.0"/>
        <n v="73.0"/>
        <n v="61.0"/>
        <n v="83.0"/>
        <n v="85.0"/>
        <n v="86.0"/>
        <n v="94.0"/>
        <n v="106.0"/>
        <n v="84.0"/>
        <n v="98.0"/>
        <n v="282.0"/>
        <n v="248.0"/>
        <n v="231.0"/>
        <n v="247.0"/>
        <n v="365.0"/>
        <n v="238.0"/>
        <n v="236.0"/>
        <n v="278.0"/>
        <n v="367.0"/>
        <n v="271.0"/>
        <n v="233.0"/>
        <n v="275.0"/>
        <n v="50.0"/>
        <n v="75.0"/>
        <n v="62.0"/>
        <n v="77.0"/>
        <n v="80.0"/>
        <n v="64.0"/>
        <n v="58.0"/>
        <n v="63.0"/>
        <n v="244.0"/>
        <n v="262.0"/>
        <n v="279.0"/>
        <n v="246.0"/>
        <n v="229.0"/>
        <n v="291.0"/>
        <n v="200.0"/>
        <n v="183.0"/>
        <n v="160.0"/>
        <n v="205.0"/>
        <n v="185.0"/>
        <n v="181.0"/>
        <n v="159.0"/>
        <n v="140.0"/>
        <n v="120.0"/>
        <n v="153.0"/>
        <n v="228.0"/>
        <n v="202.0"/>
        <n v="171.0"/>
        <n v="123.0"/>
        <n v="116.0"/>
        <n v="317.0"/>
        <n v="177.0"/>
        <n v="328.0"/>
        <n v="322.0"/>
        <n v="376.0"/>
        <n v="332.0"/>
        <n v="457.0"/>
        <n v="324.0"/>
        <n v="375.0"/>
        <n v="255.0"/>
        <n v="241.0"/>
        <n v="274.0"/>
        <n v="442.0"/>
        <n v="481.0"/>
        <n v="561.0"/>
        <n v="745.0"/>
        <n v="734.0"/>
        <n v="646.0"/>
        <n v="170.0"/>
        <n v="221.0"/>
        <n v="167.0"/>
        <n v="131.0"/>
        <n v="184.0"/>
        <n v="289.0"/>
        <n v="448.0"/>
        <n v="418.0"/>
        <n v="429.0"/>
        <n v="307.0"/>
        <n v="501.0"/>
        <n v="391.0"/>
        <n v="325.0"/>
        <n v="338.0"/>
        <n v="565.0"/>
        <n v="525.0"/>
        <n v="358.0"/>
        <n v="267.0"/>
        <n v="630.0"/>
        <n v="269.0"/>
        <n v="208.0"/>
        <n v="472.0"/>
        <n v="326.0"/>
        <n v="441.0"/>
        <n v="209.0"/>
        <n v="287.0"/>
      </sharedItems>
    </cacheField>
    <cacheField name="Error" numFmtId="0">
      <sharedItems containsSemiMixedTypes="0" containsString="0" containsNumber="1" containsInteger="1">
        <n v="-10.0"/>
        <n v="-118.0"/>
        <n v="-109.0"/>
        <n v="-229.0"/>
        <n v="-289.0"/>
        <n v="50.0"/>
        <n v="64.0"/>
        <n v="-82.0"/>
        <n v="-272.0"/>
        <n v="-159.0"/>
        <n v="56.0"/>
        <n v="-260.0"/>
        <n v="-59.0"/>
        <n v="-52.0"/>
        <n v="-199.0"/>
        <n v="48.0"/>
        <n v="-163.0"/>
        <n v="-37.0"/>
        <n v="-212.0"/>
        <n v="-233.0"/>
        <n v="-169.0"/>
        <n v="-143.0"/>
        <n v="-72.0"/>
        <n v="38.0"/>
        <n v="97.0"/>
        <n v="-45.0"/>
        <n v="5.0"/>
        <n v="99.0"/>
        <n v="11.0"/>
        <n v="133.0"/>
        <n v="-67.0"/>
        <n v="-91.0"/>
        <n v="-19.0"/>
        <n v="-54.0"/>
        <n v="77.0"/>
        <n v="-99.0"/>
        <n v="-13.0"/>
        <n v="-114.0"/>
        <n v="-68.0"/>
        <n v="-11.0"/>
        <n v="-47.0"/>
        <n v="4.0"/>
        <n v="-26.0"/>
        <n v="-46.0"/>
        <n v="-90.0"/>
        <n v="-8.0"/>
        <n v="-120.0"/>
        <n v="-34.0"/>
        <n v="55.0"/>
        <n v="1.0"/>
        <n v="-18.0"/>
        <n v="-145.0"/>
        <n v="-124.0"/>
        <n v="-136.0"/>
        <n v="52.0"/>
        <n v="-73.0"/>
        <n v="-107.0"/>
        <n v="-79.0"/>
        <n v="-101.0"/>
        <n v="75.0"/>
        <n v="-135.0"/>
        <n v="-113.0"/>
        <n v="-177.0"/>
        <n v="-100.0"/>
        <n v="-129.0"/>
        <n v="-48.0"/>
        <n v="-98.0"/>
        <n v="-33.0"/>
        <n v="-137.0"/>
        <n v="-104.0"/>
        <n v="-148.0"/>
        <n v="-29.0"/>
        <n v="-57.0"/>
        <n v="-32.0"/>
        <n v="-23.0"/>
        <n v="23.0"/>
        <n v="-85.0"/>
        <n v="98.0"/>
        <n v="-3.0"/>
        <n v="74.0"/>
        <n v="163.0"/>
        <n v="88.0"/>
        <n v="0.0"/>
        <n v="110.0"/>
        <n v="155.0"/>
        <n v="140.0"/>
        <n v="160.0"/>
        <n v="35.0"/>
        <n v="-69.0"/>
        <n v="-55.0"/>
        <n v="-112.0"/>
        <n v="-49.0"/>
        <n v="-75.0"/>
        <n v="-51.0"/>
        <n v="-35.0"/>
        <n v="-41.0"/>
        <n v="129.0"/>
        <n v="-42.0"/>
        <n v="-4.0"/>
        <n v="244.0"/>
        <n v="60.0"/>
        <n v="209.0"/>
        <n v="246.0"/>
        <n v="227.0"/>
        <n v="40.0"/>
        <n v="100.0"/>
        <n v="158.0"/>
        <n v="43.0"/>
        <n v="109.0"/>
        <n v="-5.0"/>
        <n v="164.0"/>
        <n v="46.0"/>
        <n v="81.0"/>
        <n v="112.0"/>
        <n v="-150.0"/>
        <n v="7.0"/>
        <n v="-158.0"/>
        <n v="-127.0"/>
        <n v="-141.0"/>
        <n v="-172.0"/>
        <n v="-200.0"/>
        <n v="-182.0"/>
        <n v="-31.0"/>
        <n v="-189.0"/>
        <n v="-161.0"/>
        <n v="-175.0"/>
        <n v="-27.0"/>
        <n v="-63.0"/>
        <n v="-15.0"/>
        <n v="-185.0"/>
        <n v="-194.0"/>
        <n v="-97.0"/>
        <n v="-108.0"/>
        <n v="-62.0"/>
        <n v="-262.0"/>
        <n v="15.0"/>
        <n v="-235.0"/>
        <n v="-53.0"/>
        <n v="-70.0"/>
        <n v="-87.0"/>
        <n v="-89.0"/>
        <n v="67.0"/>
        <n v="-173.0"/>
        <n v="-191.0"/>
        <n v="-2.0"/>
        <n v="-243.0"/>
        <n v="-144.0"/>
        <n v="2.0"/>
        <n v="61.0"/>
        <n v="8.0"/>
        <n v="12.0"/>
        <n v="-92.0"/>
        <n v="-134.0"/>
        <n v="39.0"/>
        <n v="59.0"/>
        <n v="19.0"/>
        <n v="87.0"/>
        <n v="120.0"/>
        <n v="92.0"/>
        <n v="76.0"/>
        <n v="93.0"/>
        <n v="207.0"/>
        <n v="16.0"/>
        <n v="141.0"/>
        <n v="168.0"/>
        <n v="22.0"/>
        <n v="84.0"/>
        <n v="70.0"/>
        <n v="181.0"/>
        <n v="211.0"/>
        <n v="-74.0"/>
        <n v="-204.0"/>
        <n v="32.0"/>
        <n v="-181.0"/>
        <n v="-154.0"/>
        <n v="-39.0"/>
        <n v="-22.0"/>
        <n v="45.0"/>
        <n v="-110.0"/>
        <n v="275.0"/>
        <n v="117.0"/>
        <n v="199.0"/>
        <n v="-9.0"/>
        <n v="235.0"/>
        <n v="193.0"/>
        <n v="73.0"/>
        <n v="223.0"/>
        <n v="-44.0"/>
        <n v="174.0"/>
        <n v="9.0"/>
        <n v="-116.0"/>
        <n v="53.0"/>
        <n v="-71.0"/>
        <n v="71.0"/>
        <n v="89.0"/>
        <n v="166.0"/>
        <n v="131.0"/>
        <n v="132.0"/>
        <n v="-12.0"/>
        <n v="49.0"/>
        <n v="14.0"/>
        <n v="94.0"/>
        <n v="26.0"/>
        <n v="62.0"/>
        <n v="-25.0"/>
        <n v="102.0"/>
        <n v="-105.0"/>
        <n v="-123.0"/>
        <n v="-132.0"/>
        <n v="47.0"/>
        <n v="-188.0"/>
        <n v="31.0"/>
        <n v="-20.0"/>
        <n v="153.0"/>
        <n v="13.0"/>
        <n v="-38.0"/>
        <n v="145.0"/>
        <n v="41.0"/>
        <n v="42.0"/>
        <n v="80.0"/>
        <n v="63.0"/>
        <n v="128.0"/>
        <n v="101.0"/>
        <n v="104.0"/>
        <n v="105.0"/>
        <n v="108.0"/>
        <n v="57.0"/>
        <n v="-7.0"/>
        <n v="-80.0"/>
        <n v="54.0"/>
        <n v="51.0"/>
        <n v="-94.0"/>
        <n v="-115.0"/>
        <n v="-122.0"/>
        <n v="-151.0"/>
        <n v="-14.0"/>
        <n v="21.0"/>
        <n v="-146.0"/>
        <n v="-66.0"/>
        <n v="-86.0"/>
        <n v="96.0"/>
        <n v="179.0"/>
        <n v="-95.0"/>
        <n v="-61.0"/>
        <n v="126.0"/>
        <n v="69.0"/>
        <n v="-81.0"/>
        <n v="-103.0"/>
        <n v="30.0"/>
        <n v="66.0"/>
        <n v="-126.0"/>
        <n v="146.0"/>
        <n v="-30.0"/>
        <n v="170.0"/>
        <n v="-138.0"/>
        <n v="-152.0"/>
        <n v="-147.0"/>
        <n v="-157.0"/>
        <n v="34.0"/>
        <n v="-56.0"/>
        <n v="28.0"/>
        <n v="27.0"/>
        <n v="72.0"/>
        <n v="68.0"/>
        <n v="-77.0"/>
        <n v="-196.0"/>
        <n v="-187.0"/>
        <n v="-21.0"/>
        <n v="-121.0"/>
        <n v="-131.0"/>
        <n v="-174.0"/>
        <n v="-43.0"/>
        <n v="18.0"/>
        <n v="-60.0"/>
        <n v="-119.0"/>
        <n v="24.0"/>
        <n v="3.0"/>
        <n v="-168.0"/>
        <n v="36.0"/>
        <n v="-171.0"/>
        <n v="-24.0"/>
        <n v="-102.0"/>
        <n v="-50.0"/>
        <n v="123.0"/>
        <n v="83.0"/>
        <n v="-78.0"/>
        <n v="33.0"/>
        <n v="-58.0"/>
        <n v="79.0"/>
        <n v="134.0"/>
        <n v="17.0"/>
        <n v="143.0"/>
        <n v="-36.0"/>
        <n v="-40.0"/>
        <n v="-64.0"/>
        <n v="-28.0"/>
        <n v="20.0"/>
        <n v="58.0"/>
        <n v="29.0"/>
        <n v="44.0"/>
        <n v="91.0"/>
        <n v="65.0"/>
        <n v="-16.0"/>
        <n v="-130.0"/>
        <n v="37.0"/>
        <n v="-1.0"/>
        <n v="6.0"/>
        <n v="78.0"/>
        <n v="150.0"/>
        <n v="-65.0"/>
        <n v="124.0"/>
        <n v="107.0"/>
        <n v="-17.0"/>
        <n v="135.0"/>
        <n v="-83.0"/>
        <n v="-106.0"/>
        <n v="113.0"/>
        <n v="85.0"/>
        <n v="-6.0"/>
        <n v="-139.0"/>
        <n v="-149.0"/>
        <n v="25.0"/>
        <n v="-84.0"/>
        <n v="142.0"/>
        <n v="114.0"/>
        <n v="90.0"/>
        <n v="10.0"/>
        <n v="-88.0"/>
        <n v="119.0"/>
        <n v="115.0"/>
        <n v="-111.0"/>
        <n v="-96.0"/>
        <n v="-76.0"/>
        <n v="103.0"/>
        <n v="-166.0"/>
        <n v="-178.0"/>
        <n v="86.0"/>
        <n v="-128.0"/>
        <n v="171.0"/>
        <n v="-205.0"/>
        <n v="173.0"/>
        <n v="82.0"/>
        <n v="-176.0"/>
        <n v="118.0"/>
        <n v="-125.0"/>
      </sharedItems>
    </cacheField>
    <cacheField name="Absolute Error" numFmtId="0">
      <sharedItems containsSemiMixedTypes="0" containsString="0" containsNumber="1" containsInteger="1">
        <n v="10.0"/>
        <n v="118.0"/>
        <n v="109.0"/>
        <n v="229.0"/>
        <n v="289.0"/>
        <n v="50.0"/>
        <n v="64.0"/>
        <n v="82.0"/>
        <n v="272.0"/>
        <n v="159.0"/>
        <n v="56.0"/>
        <n v="260.0"/>
        <n v="59.0"/>
        <n v="52.0"/>
        <n v="199.0"/>
        <n v="48.0"/>
        <n v="163.0"/>
        <n v="37.0"/>
        <n v="212.0"/>
        <n v="233.0"/>
        <n v="169.0"/>
        <n v="143.0"/>
        <n v="72.0"/>
        <n v="38.0"/>
        <n v="97.0"/>
        <n v="45.0"/>
        <n v="5.0"/>
        <n v="99.0"/>
        <n v="11.0"/>
        <n v="133.0"/>
        <n v="67.0"/>
        <n v="91.0"/>
        <n v="19.0"/>
        <n v="54.0"/>
        <n v="77.0"/>
        <n v="13.0"/>
        <n v="114.0"/>
        <n v="68.0"/>
        <n v="47.0"/>
        <n v="4.0"/>
        <n v="26.0"/>
        <n v="46.0"/>
        <n v="90.0"/>
        <n v="8.0"/>
        <n v="120.0"/>
        <n v="34.0"/>
        <n v="55.0"/>
        <n v="1.0"/>
        <n v="18.0"/>
        <n v="145.0"/>
        <n v="124.0"/>
        <n v="136.0"/>
        <n v="73.0"/>
        <n v="107.0"/>
        <n v="79.0"/>
        <n v="101.0"/>
        <n v="75.0"/>
        <n v="135.0"/>
        <n v="113.0"/>
        <n v="177.0"/>
        <n v="100.0"/>
        <n v="129.0"/>
        <n v="98.0"/>
        <n v="33.0"/>
        <n v="137.0"/>
        <n v="104.0"/>
        <n v="148.0"/>
        <n v="29.0"/>
        <n v="57.0"/>
        <n v="32.0"/>
        <n v="23.0"/>
        <n v="85.0"/>
        <n v="3.0"/>
        <n v="74.0"/>
        <n v="88.0"/>
        <n v="0.0"/>
        <n v="110.0"/>
        <n v="155.0"/>
        <n v="140.0"/>
        <n v="160.0"/>
        <n v="35.0"/>
        <n v="69.0"/>
        <n v="112.0"/>
        <n v="49.0"/>
        <n v="51.0"/>
        <n v="41.0"/>
        <n v="42.0"/>
        <n v="244.0"/>
        <n v="60.0"/>
        <n v="209.0"/>
        <n v="246.0"/>
        <n v="227.0"/>
        <n v="40.0"/>
        <n v="158.0"/>
        <n v="43.0"/>
        <n v="164.0"/>
        <n v="81.0"/>
        <n v="150.0"/>
        <n v="7.0"/>
        <n v="127.0"/>
        <n v="141.0"/>
        <n v="172.0"/>
        <n v="200.0"/>
        <n v="182.0"/>
        <n v="31.0"/>
        <n v="189.0"/>
        <n v="161.0"/>
        <n v="175.0"/>
        <n v="27.0"/>
        <n v="63.0"/>
        <n v="15.0"/>
        <n v="185.0"/>
        <n v="194.0"/>
        <n v="108.0"/>
        <n v="62.0"/>
        <n v="262.0"/>
        <n v="235.0"/>
        <n v="53.0"/>
        <n v="70.0"/>
        <n v="87.0"/>
        <n v="89.0"/>
        <n v="173.0"/>
        <n v="191.0"/>
        <n v="2.0"/>
        <n v="243.0"/>
        <n v="144.0"/>
        <n v="61.0"/>
        <n v="12.0"/>
        <n v="92.0"/>
        <n v="134.0"/>
        <n v="39.0"/>
        <n v="76.0"/>
        <n v="93.0"/>
        <n v="207.0"/>
        <n v="16.0"/>
        <n v="168.0"/>
        <n v="22.0"/>
        <n v="84.0"/>
        <n v="181.0"/>
        <n v="211.0"/>
        <n v="204.0"/>
        <n v="154.0"/>
        <n v="275.0"/>
        <n v="117.0"/>
        <n v="9.0"/>
        <n v="193.0"/>
        <n v="223.0"/>
        <n v="44.0"/>
        <n v="174.0"/>
        <n v="116.0"/>
        <n v="71.0"/>
        <n v="166.0"/>
        <n v="131.0"/>
        <n v="132.0"/>
        <n v="14.0"/>
        <n v="94.0"/>
        <n v="25.0"/>
        <n v="102.0"/>
        <n v="105.0"/>
        <n v="123.0"/>
        <n v="188.0"/>
        <n v="20.0"/>
        <n v="153.0"/>
        <n v="80.0"/>
        <n v="128.0"/>
        <n v="115.0"/>
        <n v="122.0"/>
        <n v="151.0"/>
        <n v="21.0"/>
        <n v="146.0"/>
        <n v="66.0"/>
        <n v="86.0"/>
        <n v="96.0"/>
        <n v="179.0"/>
        <n v="95.0"/>
        <n v="126.0"/>
        <n v="103.0"/>
        <n v="30.0"/>
        <n v="170.0"/>
        <n v="138.0"/>
        <n v="152.0"/>
        <n v="147.0"/>
        <n v="157.0"/>
        <n v="28.0"/>
        <n v="196.0"/>
        <n v="187.0"/>
        <n v="121.0"/>
        <n v="119.0"/>
        <n v="24.0"/>
        <n v="36.0"/>
        <n v="171.0"/>
        <n v="83.0"/>
        <n v="78.0"/>
        <n v="58.0"/>
        <n v="17.0"/>
        <n v="65.0"/>
        <n v="130.0"/>
        <n v="6.0"/>
        <n v="106.0"/>
        <n v="139.0"/>
        <n v="149.0"/>
        <n v="142.0"/>
        <n v="111.0"/>
        <n v="178.0"/>
        <n v="205.0"/>
        <n v="176.0"/>
        <n v="125.0"/>
      </sharedItems>
    </cacheField>
    <cacheField name="Percentage Error" numFmtId="10">
      <sharedItems containsSemiMixedTypes="0" containsString="0" containsNumber="1">
        <n v="0.0057110222729868645"/>
        <n v="0.0587356893977103"/>
        <n v="0.05653526970954357"/>
        <n v="0.10746128578132333"/>
        <n v="0.12107247591118558"/>
        <n v="0.019849146486701073"/>
        <n v="0.0283311199645861"/>
        <n v="0.03239826155669696"/>
        <n v="0.12645281264528127"/>
        <n v="0.06619483763530391"/>
        <n v="0.02572347266881029"/>
        <n v="0.11581291759465479"/>
        <n v="0.035329341317365266"/>
        <n v="0.03335471456061578"/>
        <n v="0.11966325917017438"/>
        <n v="0.024072216649949848"/>
        <n v="0.08174523570712136"/>
        <n v="0.021082621082621083"/>
        <n v="0.11058946270213876"/>
        <n v="0.12493297587131368"/>
        <n v="0.08876050420168068"/>
        <n v="0.08047270680922904"/>
        <n v="0.04260355029585799"/>
        <n v="0.02490170380078637"/>
        <n v="0.06769016050244243"/>
        <n v="0.028284098051539912"/>
        <n v="0.0030883261272390363"/>
        <n v="0.054696132596685085"/>
        <n v="0.006100942872989462"/>
        <n v="0.07413600891861762"/>
        <n v="0.03623580313683072"/>
        <n v="0.05390995260663507"/>
        <n v="0.01255783212161269"/>
        <n v="0.03333333333333333"/>
        <n v="0.04878048780487805"/>
        <n v="0.04624624624624624"/>
        <n v="0.0917516218721038"/>
        <n v="0.010655737704918032"/>
        <n v="0.10035211267605634"/>
        <n v="0.058823529411764705"/>
        <n v="0.008566978193146417"/>
        <n v="0.035127055306427506"/>
        <n v="0.0034482758620689655"/>
        <n v="0.020553359683794466"/>
        <n v="0.031144781144781145"/>
        <n v="0.041742286751361164"/>
        <n v="0.09316770186335403"/>
        <n v="0.008592910848549946"/>
        <n v="0.0881057268722467"/>
        <n v="0.024320457796852647"/>
        <n v="0.040530582166543844"/>
        <n v="6.523157208088715E-4"/>
        <n v="0.010682492581602374"/>
        <n v="0.09360877985797289"/>
        <n v="0.07510599636583888"/>
        <n v="0.031269543464665414"/>
        <n v="0.09066666666666667"/>
        <n v="0.03468979319546364"/>
        <n v="0.006839945280437756"/>
        <n v="0.05395417590539542"/>
        <n v="0.07514044943820225"/>
        <n v="0.056630824372759854"/>
        <n v="0.05844907407407408"/>
        <n v="0.0024140012070006035"/>
        <n v="0.04493708807669263"/>
        <n v="0.06998444790046657"/>
        <n v="0.06222466960352423"/>
        <n v="0.10448642266824085"/>
        <n v="0.030127462340672075"/>
        <n v="0.06565988181221274"/>
        <n v="0.07198660714285714"/>
        <n v="0.03183023872679045"/>
        <n v="0.09219190968955786"/>
        <n v="0.07129963898916968"/>
        <n v="0.028670721112076455"/>
        <n v="0.11590524534686972"/>
        <n v="0.07938931297709924"/>
        <n v="0.12416107382550336"/>
        <n v="0.02162565249813572"/>
        <n v="0.04888507718696398"/>
        <n v="0.027303754266211604"/>
        <n v="0.019896193771626297"/>
        <n v="0.01910299003322259"/>
        <n v="0.07548845470692718"/>
        <n v="0.0805921052631579"/>
        <n v="0.002553191489361702"/>
        <n v="0.052296819787985865"/>
        <n v="0.1290577988915281"/>
        <n v="0.05910006715916723"/>
        <n v="0.0"/>
        <n v="0.08172362555720654"/>
        <n v="0.1069703243616287"/>
        <n v="0.11164274322169059"/>
        <n v="0.11949215832710978"/>
        <n v="0.07650695517774343"/>
        <n v="0.029093931837073983"/>
        <n v="0.08224076281287247"/>
        <n v="0.059203444564047365"/>
        <n v="0.10218978102189781"/>
        <n v="0.05130890052356021"/>
        <n v="0.07170172084130019"/>
        <n v="0.015459723352318959"/>
        <n v="0.043220338983050846"/>
        <n v="0.028688524590163935"/>
        <n v="0.036444444444444446"/>
        <n v="0.052752293577981654"/>
        <n v="0.060675883256528416"/>
        <n v="0.027467811158798282"/>
        <n v="0.08537392455327597"/>
        <n v="0.026217228464419477"/>
        <n v="0.002206287920573635"/>
        <n v="0.12248995983935743"/>
        <n v="0.029140359397765905"/>
        <n v="0.11834654586636467"/>
        <n v="0.12417970721857648"/>
        <n v="0.10612435717625059"/>
        <n v="0.03128491620111732"/>
        <n v="0.020232675771370764"/>
        <n v="0.05858230814294083"/>
        <n v="0.08119218910585817"/>
        <n v="0.10808926080892609"/>
        <n v="0.03223388305847077"/>
        <n v="0.06816760475297061"/>
        <n v="0.06198608475648324"/>
        <n v="0.0033090668431502318"/>
        <n v="0.07959305804907241"/>
        <n v="0.09590643274853801"/>
        <n v="0.030065359477124184"/>
        <n v="0.0533596837944664"/>
        <n v="0.07708189951823813"/>
        <n v="0.0034106412005457027"/>
        <n v="0.035211267605633804"/>
        <n v="0.10541110330288124"/>
        <n v="0.004129793510324484"/>
        <n v="0.09007981755986318"/>
        <n v="0.08167202572347267"/>
        <n v="0.0781163434903047"/>
        <n v="0.08700050581689428"/>
        <n v="0.05714285714285714"/>
        <n v="0.09935419771485346"/>
        <n v="0.018570624648283626"/>
        <n v="0.1087866108786611"/>
        <n v="0.015768056968463885"/>
        <n v="0.06650093225605966"/>
        <n v="0.023661270236612703"/>
        <n v="0.01907216494845361"/>
        <n v="0.1024390243902439"/>
        <n v="0.08999441028507546"/>
        <n v="0.016145307769929364"/>
        <n v="0.08544921875"/>
        <n v="0.012328767123287671"/>
        <n v="0.03242408646423057"/>
        <n v="0.09075535512965051"/>
        <n v="0.008797653958944282"/>
        <n v="0.11154345006485085"/>
        <n v="0.12374581939799331"/>
        <n v="0.11479289940828402"/>
        <n v="0.05446378439079169"/>
        <n v="0.06112054329371817"/>
        <n v="0.03192584963954686"/>
        <n v="0.12288930581613508"/>
        <n v="0.030028598665395614"/>
        <n v="0.006717420510523959"/>
        <n v="0.10398230088495575"/>
        <n v="0.027518172377985463"/>
        <n v="0.03676470588235294"/>
        <n v="0.03810775295663601"/>
        <n v="0.02717391304347826"/>
        <n v="0.04847494553376906"/>
        <n v="0.034823284823284825"/>
        <n v="0.09931113662456946"/>
        <n v="0.10742407199100112"/>
        <n v="0.0010822510822510823"/>
        <n v="0.059134107708553325"/>
        <n v="0.10648553900087643"/>
        <n v="0.06504065040650407"/>
        <n v="0.001088139281828074"/>
        <n v="0.030123456790123456"/>
        <n v="0.018536585365853658"/>
        <n v="0.08165487207403375"/>
        <n v="0.0065252854812398045"/>
        <n v="0.0702054794520548"/>
        <n v="0.028106508875739646"/>
        <n v="0.07193732193732194"/>
        <n v="0.008016032064128256"/>
        <n v="0.049575070821529746"/>
        <n v="0.031027795733678087"/>
        <n v="0.0627130197682345"/>
        <n v="0.10151515151515152"/>
        <n v="0.02506426735218509"/>
        <n v="0.04297159504734159"/>
        <n v="0.03337969401947149"/>
        <n v="0.021965317919075144"/>
        <n v="0.08959835221421215"/>
        <n v="0.09596928982725528"/>
        <n v="0.04904051172707889"/>
        <n v="0.05699481865284974"/>
        <n v="0.11173184357541899"/>
        <n v="0.012014787430683918"/>
        <n v="0.0913604766633565"/>
        <n v="0.014191106906338695"/>
        <n v="0.08128342245989305"/>
        <n v="0.10097719869706841"/>
        <n v="0.0175609756097561"/>
        <n v="0.10792492179353493"/>
        <n v="0.007644529383659818"/>
        <n v="0.06444241316270567"/>
        <n v="0.08320950965824665"/>
        <n v="0.0300187617260788"/>
        <n v="0.009704455227172474"/>
        <n v="0.03925233644859813"/>
        <n v="0.034482758620689655"/>
        <n v="0.0885518590998043"/>
        <n v="0.10144230769230769"/>
        <n v="0.07889546351084813"/>
        <n v="0.03380281690140845"/>
        <n v="0.001949317738791423"/>
        <n v="0.041549691184727684"/>
        <n v="0.12363636363636364"/>
        <n v="0.016563146997929608"/>
        <n v="0.018739352640545145"/>
        <n v="0.10372492836676218"/>
        <n v="0.08310847274689692"/>
        <n v="0.01852731591448931"/>
        <n v="0.012318029115341545"/>
        <n v="0.02292409577177789"/>
        <n v="0.06719609040928527"/>
        <n v="0.07644882860665844"/>
        <n v="0.026243849097867686"/>
        <n v="0.017634854771784232"/>
        <n v="0.12755102040816327"/>
        <n v="0.05566127497621313"/>
        <n v="0.09974937343358396"/>
        <n v="0.004118993135011442"/>
        <n v="0.10146804835924007"/>
        <n v="0.08600713012477719"/>
        <n v="0.03679435483870968"/>
        <n v="0.10819990295972828"/>
        <n v="0.02609727164887307"/>
        <n v="0.09948542024013722"/>
        <n v="0.009230769230769232"/>
        <n v="0.02213666987487969"/>
        <n v="0.10060711188204684"/>
        <n v="0.0886654478976234"/>
        <n v="0.09809027777777778"/>
        <n v="0.025179856115107913"/>
        <n v="0.03598099117447386"/>
        <n v="0.005649717514124294"/>
        <n v="0.04985955056179775"/>
        <n v="0.0779320987654321"/>
        <n v="0.06641221374045801"/>
        <n v="0.030115830115830116"/>
        <n v="0.012448132780082987"/>
        <n v="0.05286671630677588"/>
        <n v="0.05255878284923928"/>
        <n v="0.05805609915198956"/>
        <n v="0.10971579643093192"/>
        <n v="0.008580858085808581"/>
        <n v="0.09059474412171507"/>
        <n v="0.0825515947467167"/>
        <n v="0.008504606661941885"/>
        <n v="0.026041666666666668"/>
        <n v="0.0325149303251493"/>
        <n v="0.11404728789986092"/>
        <n v="0.01317027281279398"/>
        <n v="0.08752327746741155"/>
        <n v="0.026622296173044926"/>
        <n v="0.028112449799196786"/>
        <n v="0.02290748898678414"/>
        <n v="0.02825278810408922"/>
        <n v="0.05081967213114754"/>
        <n v="0.038560411311053984"/>
        <n v="0.03035878564857406"/>
        <n v="0.028624192059095107"/>
        <n v="0.02109704641350211"/>
        <n v="0.09323583180987204"/>
        <n v="0.07936507936507936"/>
        <n v="0.0830860534124629"/>
        <n v="0.08194536975349767"/>
        <n v="0.09078860172299535"/>
        <n v="0.07737397420867527"/>
        <n v="0.03002309468822171"/>
        <n v="0.10402509147935181"/>
        <n v="0.009921671018276762"/>
        <n v="0.029559748427672956"/>
        <n v="0.10026666666666667"/>
        <n v="0.018833535844471446"/>
        <n v="0.08076275939427931"/>
        <n v="0.012642225031605562"/>
        <n v="0.03497813866333541"/>
        <n v="0.04007177033492823"/>
        <n v="0.02903225806451613"/>
        <n v="0.085"/>
        <n v="0.045285029302077784"/>
        <n v="0.006578947368421052"/>
        <n v="0.033541785105173395"/>
        <n v="0.021146355036171398"/>
        <n v="0.08415554265815438"/>
        <n v="0.03555268261150614"/>
        <n v="0.0044728434504792336"/>
        <n v="0.048693586698337295"/>
        <n v="0.05483028720626632"/>
        <n v="0.08898776418242492"/>
        <n v="0.009857612267250822"/>
        <n v="0.028047464940668825"/>
        <n v="0.06098741529525654"/>
        <n v="0.12685827552031714"/>
        <n v="0.007684918347742555"/>
        <n v="0.005549389567147614"/>
        <n v="0.004314994606256742"/>
        <n v="0.015350877192982455"/>
        <n v="0.11259754738015608"/>
        <n v="0.03092006033182504"/>
        <n v="0.06295399515738499"/>
        <n v="0.06666666666666667"/>
        <n v="0.0756832515767344"/>
        <n v="0.035337879727216366"/>
        <n v="0.03452243958573072"/>
        <n v="0.004214328717639976"/>
        <n v="0.04747774480712166"/>
        <n v="0.03339517625231911"/>
        <n v="0.03772189349112426"/>
        <n v="0.032693674484719264"/>
        <n v="0.06633733239237827"/>
        <n v="0.035147392290249435"/>
        <n v="0.05826271186440678"/>
        <n v="0.04297994269340974"/>
        <n v="0.02133850630455868"/>
        <n v="0.10818438381937912"/>
        <n v="0.11172161172161173"/>
        <n v="0.03330689928628073"/>
        <n v="0.11353383458646617"/>
        <n v="0.010736196319018405"/>
        <n v="0.019087136929460582"/>
        <n v="0.09727339719970524"/>
        <n v="0.017485428809325562"/>
        <n v="0.022235225277940317"/>
        <n v="0.017836593785960874"/>
        <n v="0.08021978021978023"/>
        <n v="0.009074410163339383"/>
        <n v="0.05974025974025974"/>
        <n v="0.001092896174863388"/>
        <n v="0.0038910505836575876"/>
        <n v="0.010660980810234541"/>
        <n v="0.04021937842778794"/>
        <n v="0.053515868077162417"/>
        <n v="0.02524916943521595"/>
        <n v="0.07401924500370097"/>
        <n v="0.050156739811912224"/>
        <n v="0.028080229226361032"/>
        <n v="0.04903943377148635"/>
        <n v="0.09293873312564901"/>
        <n v="0.02607436021245775"/>
        <n v="0.010482180293501049"/>
        <n v="0.04510921177587844"/>
        <n v="0.07168458781362007"/>
        <n v="0.0046248715313463515"/>
        <n v="0.03248136315228967"/>
        <n v="0.029907558455682437"/>
        <n v="0.07753846153846154"/>
        <n v="0.035168195718654434"/>
        <n v="0.03063787041687594"/>
        <n v="0.03988183161004431"/>
        <n v="0.05129482071713148"/>
        <n v="0.013026487190620929"/>
        <n v="0.006120527306967985"/>
        <n v="0.0558100791336943"/>
        <n v="9.25925925925926E-4"/>
        <n v="0.07711078574914593"/>
        <n v="0.0687529634898056"/>
        <n v="0.03133025166923472"/>
        <n v="0.03268945022288262"/>
        <n v="0.06911684037301152"/>
        <n v="0.06378258458125347"/>
        <n v="0.06532438478747203"/>
        <n v="0.04230201672405312"/>
        <n v="0.050580046403712296"/>
        <n v="0.026921576277799453"/>
        <n v="0.043713572023313906"/>
        <n v="0.01952191235059761"/>
        <n v="0.04750402576489533"/>
        <n v="0.016354208216992423"/>
        <n v="0.013704888076747372"/>
        <n v="0.06751389992057188"/>
        <n v="0.07446808510638298"/>
        <n v="0.08793774319066149"/>
        <n v="0.030303030303030304"/>
        <n v="0.03589021815622801"/>
        <n v="0.017651052274270197"/>
        <n v="0.10835913312693499"/>
        <n v="0.08185053380782918"/>
        <n v="0.08670849971477468"/>
        <n v="0.0967741935483871"/>
        <n v="0.030035335689045935"/>
        <n v="0.09980928162746344"/>
        <n v="0.07677902621722846"/>
        <n v="0.010402219140083218"/>
        <n v="0.023192360163710776"/>
        <n v="0.06320400500625782"/>
        <n v="0.02598936798582398"/>
        <n v="0.03317535545023697"/>
        <n v="0.012259194395796848"/>
        <n v="0.05703657780533168"/>
        <n v="0.010309278350515464"/>
        <n v="0.03322475570032573"/>
        <n v="0.017587939698492462"/>
        <n v="0.02401874633860574"/>
        <n v="0.04486785494775661"/>
        <n v="0.027054108216432865"/>
        <n v="0.06415478615071284"/>
        <n v="0.05175292153589316"/>
        <n v="0.042606516290726815"/>
        <n v="0.04189435336976321"/>
        <n v="0.05673758865248227"/>
        <n v="0.016704631738800303"/>
        <n v="0.04796747967479675"/>
        <n v="0.06319702602230483"/>
        <n v="0.06653225806451613"/>
        <n v="0.07601184600197433"/>
        <n v="0.012307692307692308"/>
        <n v="0.030612244897959183"/>
        <n v="0.001358695652173913"/>
        <n v="0.12492033142128744"/>
        <n v="0.07487520798668885"/>
        <n v="0.07226980728051392"/>
        <n v="0.09497206703910614"/>
        <n v="0.00527831094049904"/>
        <n v="0.04"/>
        <n v="0.05476673427991886"/>
        <n v="0.052976190476190475"/>
        <n v="0.0116991643454039"/>
        <n v="0.0658682634730539"/>
        <n v="0.1031496062992126"/>
        <n v="0.12724434035909446"/>
        <n v="0.11175337186897881"/>
        <n v="0.08661926308985132"/>
        <n v="0.026364193746167996"/>
        <n v="0.09706045479755962"/>
        <n v="0.108125"/>
        <n v="0.009468700683850605"/>
        <n v="0.034403669724770644"/>
        <n v="0.10201793721973094"/>
        <n v="0.0630965005302227"/>
        <n v="0.04711425206124853"/>
        <n v="0.03691639522258415"/>
        <n v="0.010845986984815618"/>
        <n v="0.004362050163576881"/>
        <n v="0.06423982869379015"/>
        <n v="0.040169133192389"/>
        <n v="0.055220883534136546"/>
        <n v="0.0669683257918552"/>
        <n v="0.04560260586319218"/>
        <n v="0.044571428571428574"/>
        <n v="0.02937576499388005"/>
        <n v="0.003355704697986577"/>
        <n v="0.0335946248600224"/>
        <n v="0.017642907551164433"/>
        <n v="0.056467498358502954"/>
        <n v="0.11764705882352941"/>
        <n v="0.024793388429752067"/>
        <n v="0.11392405063291139"/>
        <n v="0.0012195121951219512"/>
        <n v="0.0036784025223331584"/>
        <n v="0.04683038263849229"/>
        <n v="0.023176550783912748"/>
        <n v="0.027794561933534745"/>
        <n v="0.014732965009208104"/>
        <n v="0.02646868947708199"/>
        <n v="0.0777292576419214"/>
        <n v="0.07418181818181818"/>
        <n v="0.06801736613603473"/>
        <n v="0.010844306738962044"/>
        <n v="0.07479045776918117"/>
        <n v="0.032658393207054215"/>
        <n v="0.07486305538648813"/>
        <n v="0.004361370716510903"/>
        <n v="0.055076310550763105"/>
        <n v="0.05219985085756898"/>
        <n v="0.01521216973578863"/>
        <n v="0.061224489795918366"/>
        <n v="0.017994858611825194"/>
        <n v="0.0199501246882793"/>
        <n v="0.01079913606911447"/>
        <n v="0.06947368421052631"/>
        <n v="0.022540983606557378"/>
        <n v="0.025688073394495414"/>
        <n v="0.14666666666666667"/>
        <n v="0.09554140127388536"/>
        <n v="0.1292929292929293"/>
        <n v="0.148068669527897"/>
        <n v="0.12446351931330472"/>
        <n v="0.006493506493506494"/>
        <n v="0.1297208538587849"/>
        <n v="0.025951557093425604"/>
        <n v="0.028963414634146343"/>
        <n v="0.004918032786885246"/>
        <n v="0.01199400299850075"/>
        <n v="0.08853410740203194"/>
        <n v="0.19533527696793002"/>
        <n v="0.014864864864864866"/>
        <n v="0.034528552456839307"/>
        <n v="0.135678391959799"/>
        <n v="0.02526002971768202"/>
        <n v="0.18239795918367346"/>
        <n v="0.07250755287009064"/>
        <n v="0.030821917808219176"/>
        <n v="0.08241758241758242"/>
        <n v="0.11458333333333333"/>
        <n v="0.03757225433526012"/>
        <n v="0.13573407202216067"/>
        <n v="0.08803611738148984"/>
        <n v="0.08530805687203792"/>
        <n v="0.0275"/>
        <n v="0.07196029776674938"/>
        <n v="0.0049504950495049506"/>
        <n v="0.11791383219954649"/>
        <n v="0.040339702760084924"/>
        <n v="0.02676864244741874"/>
        <n v="0.06313645621181263"/>
        <n v="0.16221374045801526"/>
        <n v="0.08538587848932677"/>
        <n v="0.04220779220779221"/>
        <n v="0.03482587064676617"/>
        <n v="0.07751937984496124"/>
        <n v="0.12355212355212356"/>
        <n v="0.05156537753222836"/>
        <n v="0.1349036402569593"/>
        <n v="0.1780821917808219"/>
        <n v="0.033766233766233764"/>
        <n v="0.050505050505050504"/>
        <n v="0.04092071611253197"/>
        <n v="0.09879518072289156"/>
        <n v="0.1388888888888889"/>
        <n v="0.07387862796833773"/>
        <n v="0.02127659574468085"/>
        <n v="0.15846994535519127"/>
        <n v="0.08708708708708708"/>
        <n v="0.14242424242424243"/>
        <n v="0.01871657754010695"/>
        <n v="0.11864406779661017"/>
        <n v="0.05240174672489083"/>
        <n v="0.14760914760914762"/>
        <n v="0.09936575052854123"/>
        <n v="0.0835117773019272"/>
        <n v="0.08876811594202899"/>
        <n v="0.08979591836734693"/>
        <n v="0.1320754716981132"/>
        <n v="0.1279317697228145"/>
        <n v="0.18724279835390947"/>
        <n v="0.08932461873638345"/>
        <n v="0.07100591715976332"/>
        <n v="0.10547667342799188"/>
        <n v="0.030425963488843813"/>
        <n v="0.058319039451114926"/>
        <n v="0.17765567765567766"/>
        <n v="0.09587020648967552"/>
        <n v="0.06628242074927954"/>
        <n v="0.0221606648199446"/>
        <n v="0.18131101813110181"/>
        <n v="0.08914728682170543"/>
        <n v="0.12516644474034622"/>
        <n v="0.15288611544461778"/>
        <n v="0.08274894810659186"/>
        <n v="0.05623100303951368"/>
        <n v="0.05400696864111498"/>
        <n v="0.08239700374531835"/>
        <n v="0.03912363067292645"/>
        <n v="0.0759493670886076"/>
        <n v="0.16272189349112426"/>
        <n v="0.07122507122507123"/>
        <n v="0.03851444291609354"/>
        <n v="0.0024937655860349127"/>
        <n v="0.051248357424441525"/>
        <n v="0.1111111111111111"/>
        <n v="0.009602194787379973"/>
        <n v="0.17272727272727273"/>
        <n v="0.06567164179104477"/>
        <n v="0.19680851063829788"/>
        <n v="0.11330049261083744"/>
        <n v="0.08941176470588236"/>
        <n v="0.06149732620320856"/>
        <n v="0.02197802197802198"/>
        <n v="0.12594458438287154"/>
        <n v="0.13243243243243244"/>
        <n v="0.006006006006006006"/>
        <n v="0.02373887240356083"/>
        <n v="0.09337349397590361"/>
        <n v="0.016018306636155607"/>
        <n v="0.07818930041152264"/>
        <n v="0.1078838174273859"/>
        <n v="0.13272727272727272"/>
        <n v="0.04219409282700422"/>
        <n v="0.0288659793814433"/>
        <n v="0.08464566929133858"/>
        <n v="0.06680161943319839"/>
        <n v="0.002403846153846154"/>
        <n v="0.0757238307349666"/>
        <n v="0.09112709832134293"/>
        <n v="0.14173228346456693"/>
        <n v="0.13815789473684212"/>
        <n v="0.13537117903930132"/>
        <n v="0.1182033096926714"/>
        <n v="0.033542976939203356"/>
        <n v="0.06134969325153374"/>
        <n v="0.13293650793650794"/>
        <n v="0.08425720620842572"/>
        <n v="0.006787330316742082"/>
        <n v="0.013636363636363636"/>
        <n v="0.0851063829787234"/>
        <n v="0.11800302571860817"/>
        <n v="0.08240887480190175"/>
        <n v="0.05346820809248555"/>
        <n v="0.035452322738386305"/>
        <n v="0.13618677042801555"/>
        <n v="0.048919226393629126"/>
        <n v="0.11506524317912219"/>
        <n v="0.19815059445178335"/>
        <n v="0.09507445589919816"/>
        <n v="0.10335570469798658"/>
        <n v="0.09103641456582633"/>
        <n v="0.13682432432432431"/>
        <n v="0.1033434650455927"/>
        <n v="0.06976744186046512"/>
        <n v="0.0012642225031605564"/>
        <n v="0.0037593984962406013"/>
        <n v="0.14183551847437426"/>
        <n v="0.030915576694411414"/>
        <n v="0.08786127167630058"/>
        <n v="0.1467455621301775"/>
        <n v="0.043202033036848796"/>
        <n v="0.011166253101736972"/>
        <n v="0.08009153318077804"/>
        <n v="0.047697368421052634"/>
        <n v="0.19141323792486584"/>
        <n v="0.1552901023890785"/>
        <n v="0.025954198473282442"/>
        <n v="0.03247631935047361"/>
        <n v="0.006983240223463687"/>
        <n v="0.05172413793103448"/>
        <n v="0.189873417721519"/>
        <n v="0.0962406015037594"/>
        <n v="0.13056379821958458"/>
        <n v="0.19040247678018576"/>
        <n v="0.02932551319648094"/>
        <n v="0.046052631578947366"/>
        <n v="0.1377952755905512"/>
        <n v="0.00392156862745098"/>
        <n v="0.10481099656357389"/>
        <n v="0.06691449814126393"/>
        <n v="0.07413793103448275"/>
        <n v="0.054514480408858604"/>
        <n v="0.04745762711864407"/>
        <n v="0.013816925734024179"/>
        <n v="0.1713221601489758"/>
        <n v="0.1438474870017331"/>
        <n v="0.1646090534979424"/>
        <n v="0.07857142857142857"/>
        <n v="0.05"/>
        <n v="0.1575091575091575"/>
        <n v="0.08875739644970414"/>
        <n v="0.08450704225352113"/>
        <n v="0.057926829268292686"/>
        <n v="0.04672897196261682"/>
        <n v="0.1918819188191882"/>
        <n v="0.010948905109489052"/>
        <n v="0.17406143344709898"/>
        <n v="0.0873015873015873"/>
        <n v="0.0019230769230769232"/>
        <n v="0.08842443729903537"/>
        <n v="0.12737642585551331"/>
        <n v="0.05817610062893082"/>
        <n v="0.1664050235478807"/>
        <n v="0.07538461538461538"/>
        <n v="0.08153078202995008"/>
        <n v="0.09636363636363636"/>
        <n v="0.02028397565922921"/>
        <n v="0.05894308943089431"/>
        <n v="0.010025062656641603"/>
        <n v="0.08133971291866028"/>
        <n v="0.08393285371702638"/>
        <n v="0.0603448275862069"/>
        <n v="0.05823293172690763"/>
        <n v="0.06352459016393443"/>
        <n v="0.01680672268907563"/>
        <n v="0.08278867102396514"/>
        <n v="0.0625"/>
        <n v="0.06407766990291262"/>
        <n v="0.10975609756097561"/>
        <n v="0.11203319502074689"/>
        <n v="0.04178674351585014"/>
        <n v="0.1354292623941959"/>
        <n v="0.12349726775956284"/>
        <n v="0.11814345991561181"/>
        <n v="0.007009345794392523"/>
        <n v="0.007760532150776054"/>
        <n v="0.014301430143014302"/>
        <n v="0.06430868167202572"/>
        <n v="0.09582863585118377"/>
        <n v="0.11791907514450867"/>
        <n v="0.13578680203045684"/>
        <n v="0.08"/>
        <n v="0.17060810810810811"/>
        <n v="0.12442396313364056"/>
        <n v="0.10909090909090909"/>
        <n v="0.03880983182406209"/>
        <n v="0.017711171662125342"/>
        <n v="0.11899038461538461"/>
        <n v="0.163659793814433"/>
        <n v="0.0041841004184100415"/>
        <n v="0.04293628808864266"/>
        <n v="0.1681087762669963"/>
        <n v="0.12372448979591837"/>
        <n v="0.06462585034013606"/>
        <n v="0.024691358024691357"/>
        <n v="0.1806853582554517"/>
        <n v="0.026954177897574125"/>
        <n v="0.05774278215223097"/>
        <n v="0.1291139240506329"/>
        <n v="0.09162303664921466"/>
        <n v="0.01488833746898263"/>
        <n v="0.08959537572254335"/>
        <n v="0.07466666666666667"/>
        <n v="0.06284153005464481"/>
        <n v="0.13736263736263737"/>
        <n v="0.0196078431372549"/>
        <n v="0.19305555555555556"/>
        <n v="0.01904761904761905"/>
        <n v="0.1313953488372093"/>
        <n v="0.022093023255813953"/>
        <n v="0.09592061742006615"/>
        <n v="0.00851581508515815"/>
        <n v="0.07211538461538461"/>
        <n v="0.006818181818181818"/>
        <n v="0.16195652173913044"/>
        <n v="0.017173051519154558"/>
        <n v="0.04285714285714286"/>
        <n v="0.058011049723756904"/>
        <n v="0.010869565217391304"/>
        <n v="0.06510416666666667"/>
        <n v="0.1280193236714976"/>
        <n v="0.09955752212389381"/>
        <n v="0.04042553191489362"/>
        <n v="0.0824295010845987"/>
        <n v="0.016867469879518072"/>
        <n v="0.10628019323671498"/>
        <n v="0.011547344110854504"/>
        <n v="0.012371134020618556"/>
        <n v="0.13636363636363635"/>
        <n v="0.05614973262032086"/>
        <n v="0.015463917525773196"/>
        <n v="0.046357615894039736"/>
        <n v="0.08666666666666667"/>
        <n v="0.08158995815899582"/>
        <n v="0.10653753026634383"/>
        <n v="0.12672811059907835"/>
        <n v="0.10077519379844961"/>
        <n v="0.034666666666666665"/>
        <n v="0.07575757575757576"/>
        <n v="0.07223476297968397"/>
        <n v="0.01948051948051948"/>
        <n v="0.018036072144288578"/>
        <n v="0.031683168316831684"/>
        <n v="0.03754266211604096"/>
        <n v="0.14054927302100162"/>
        <n v="0.11560693641618497"/>
        <n v="0.04990757855822551"/>
        <n v="0.02895752895752896"/>
        <n v="0.040697674418604654"/>
        <n v="0.08097928436911488"/>
        <n v="0.08588957055214724"/>
        <n v="0.12692307692307692"/>
        <n v="0.0989399293286219"/>
        <n v="0.04636459430979979"/>
        <n v="0.04174573055028463"/>
        <n v="0.11038353601496725"/>
        <n v="0.12633451957295375"/>
        <n v="0.030977734753146177"/>
        <n v="0.0976303317535545"/>
        <n v="0.030784508440913606"/>
        <n v="0.04046858359957402"/>
        <n v="0.14270152505446623"/>
        <n v="0.0498220640569395"/>
        <n v="0.0034129692832764505"/>
        <n v="0.08100558659217877"/>
        <n v="0.07407407407407407"/>
        <n v="0.1757188498402556"/>
        <n v="0.0718232044198895"/>
        <n v="0.011363636363636364"/>
        <n v="0.1165644171779141"/>
        <n v="0.045871559633027525"/>
        <n v="0.0911854103343465"/>
        <n v="0.12903225806451613"/>
        <n v="0.053763440860215055"/>
        <n v="0.13256113256113256"/>
        <n v="0.1482444733420026"/>
        <n v="0.034360189573459717"/>
        <n v="0.03713188220230474"/>
        <n v="0.022754491017964073"/>
        <n v="0.11553273427471117"/>
        <n v="0.09252669039145907"/>
        <n v="0.02644836272040302"/>
        <n v="0.06985294117647059"/>
        <n v="0.1473951715374841"/>
        <n v="0.006993006993006993"/>
        <n v="0.07266982622432859"/>
        <n v="0.03535353535353535"/>
        <n v="0.09836065573770492"/>
        <n v="0.09147609147609148"/>
        <n v="0.13839285714285715"/>
        <n v="0.072"/>
        <n v="0.0018248175182481751"/>
        <n v="0.10666666666666667"/>
        <n v="0.108"/>
        <n v="0.04462474645030426"/>
        <n v="0.03272727272727273"/>
        <n v="0.032490974729241874"/>
        <n v="0.11151079136690648"/>
        <n v="0.026200873362445413"/>
        <n v="0.10505050505050505"/>
        <n v="0.17017543859649123"/>
        <n v="0.0429042904290429"/>
        <n v="0.01652892561983471"/>
        <n v="0.010574018126888218"/>
        <n v="0.16104294478527606"/>
        <n v="0.1365079365079365"/>
        <n v="0.026771653543307086"/>
        <n v="0.1685214626391097"/>
        <n v="0.03411131059245961"/>
        <n v="0.16"/>
        <n v="0.03529411764705882"/>
        <n v="0.14617169373549885"/>
        <n v="0.1326530612244898"/>
        <n v="0.045548654244306416"/>
        <n v="0.013100436681222707"/>
        <n v="0.1294820717131474"/>
        <n v="0.12606837606837606"/>
        <n v="0.11868131868131868"/>
        <n v="0.08240534521158129"/>
        <n v="0.04856512141280353"/>
        <n v="0.07458563535911603"/>
        <n v="0.1307901907356948"/>
        <n v="0.08888888888888889"/>
        <n v="0.113345521023766"/>
        <n v="0.020134228187919462"/>
        <n v="0.02434782608695652"/>
        <n v="0.0032"/>
        <n v="0.09982174688057041"/>
        <n v="0.13274336283185842"/>
        <n v="0.07082630691399663"/>
        <n v="0.017421602787456445"/>
        <n v="0.1291866028708134"/>
        <n v="0.14204545454545456"/>
        <n v="0.006633499170812604"/>
        <n v="0.16368638239339753"/>
        <n v="0.0623342175066313"/>
        <n v="0.03368176538908246"/>
        <n v="0.12382934443288242"/>
        <n v="0.04633620689655173"/>
        <n v="0.004618937644341801"/>
        <n v="0.019342359767891684"/>
        <n v="0.11819116135662898"/>
        <n v="0.1053864168618267"/>
        <n v="0.18867924528301888"/>
        <n v="0.05555555555555555"/>
        <n v="0.023890784982935155"/>
        <n v="0.09077809798270893"/>
        <n v="0.025885558583106268"/>
        <n v="0.0097442143727162"/>
        <n v="0.13230035756853398"/>
        <n v="0.1781818181818182"/>
        <n v="0.03680981595092025"/>
        <n v="0.1510791366906475"/>
        <n v="0.05889281507656066"/>
        <n v="0.014102564102564103"/>
        <n v="0.004640371229698376"/>
        <n v="0.07431551499348109"/>
        <n v="0.01411764705882353"/>
        <n v="0.14786967418546365"/>
        <n v="0.12359550561797752"/>
        <n v="0.10158013544018059"/>
        <n v="0.15203426124197003"/>
        <n v="0.04946236559139785"/>
        <n v="0.015521064301552107"/>
        <n v="0.1338432122370937"/>
        <n v="0.05919661733615222"/>
        <n v="0.0998003992015968"/>
        <n v="0.09210526315789473"/>
        <n v="0.0189873417721519"/>
        <n v="0.2542372881355932"/>
        <n v="0.015748031496062992"/>
        <n v="0.11851851851851852"/>
        <n v="0.13178294573643412"/>
        <n v="0.2446043165467626"/>
        <n v="0.11538461538461539"/>
        <n v="0.06802721088435375"/>
        <n v="0.02142857142857143"/>
        <n v="0.20930232558139536"/>
        <n v="0.064"/>
        <n v="0.1724137931034483"/>
        <n v="0.1853146853146853"/>
        <n v="0.0711743772241993"/>
        <n v="0.11073825503355705"/>
        <n v="0.07829181494661921"/>
        <n v="0.09090909090909091"/>
        <n v="0.011904761904761904"/>
        <n v="0.09937888198757763"/>
        <n v="0.2691131498470948"/>
        <n v="0.13559322033898305"/>
        <n v="0.022508038585209004"/>
        <n v="0.1891025641025641"/>
        <n v="0.06535947712418301"/>
        <n v="0.018115942028985508"/>
        <n v="0.24561403508771928"/>
        <n v="0.22887323943661972"/>
        <n v="0.16905444126074498"/>
        <n v="0.19463087248322147"/>
        <n v="0.15625"/>
        <n v="0.2398753894080997"/>
        <n v="0.21359223300970873"/>
        <n v="0.19795221843003413"/>
        <n v="0.08394160583941605"/>
        <n v="0.1708185053380783"/>
        <n v="0.19170984455958548"/>
        <n v="0.20526315789473684"/>
        <n v="0.22905027932960895"/>
        <n v="0.0425531914893617"/>
        <n v="0.04926108374384237"/>
        <n v="0.21145374449339208"/>
        <n v="0.2571428571428571"/>
        <n v="0.24742268041237114"/>
        <n v="0.011695906432748537"/>
        <n v="0.09183673469387756"/>
        <n v="0.2215909090909091"/>
        <n v="0.16037735849056603"/>
        <n v="0.10869565217391304"/>
        <n v="0.20952380952380953"/>
        <n v="0.021834061135371178"/>
        <n v="0.01809954751131222"/>
        <n v="0.021739130434782608"/>
        <n v="0.13963963963963963"/>
        <n v="0.03879310344827586"/>
        <n v="0.08080808080808081"/>
        <n v="0.06363636363636363"/>
        <n v="0.04854368932038835"/>
        <n v="0.023809523809523808"/>
        <n v="0.18584070796460178"/>
        <n v="0.0743801652892562"/>
        <n v="0.04032258064516129"/>
        <n v="0.058394160583941604"/>
        <n v="0.23728813559322035"/>
        <n v="0.23134328358208955"/>
        <n v="0.025423728813559324"/>
        <n v="0.1791044776119403"/>
        <n v="0.10849056603773585"/>
        <n v="0.08695652173913043"/>
        <n v="0.09701492537313433"/>
        <n v="0.0842911877394636"/>
        <n v="0.05952380952380952"/>
        <n v="0.18796992481203006"/>
        <n v="0.1044776119402985"/>
        <n v="0.14333333333333334"/>
        <n v="0.03816793893129771"/>
        <n v="0.16535433070866143"/>
        <n v="0.05947955390334572"/>
        <n v="0.19924812030075187"/>
        <n v="0.18620689655172415"/>
        <n v="0.1590909090909091"/>
        <n v="0.075"/>
        <n v="0.03424657534246575"/>
        <n v="0.20958083832335328"/>
        <n v="0.14754098360655737"/>
        <n v="0.23214285714285715"/>
        <n v="0.2375"/>
        <n v="0.0650887573964497"/>
        <n v="0.1895424836601307"/>
        <n v="0.17391304347826086"/>
        <n v="0.29850746268656714"/>
        <n v="0.2073170731707317"/>
        <n v="0.17721518987341772"/>
        <n v="0.15853658536585366"/>
        <n v="0.25"/>
        <n v="0.18556701030927836"/>
        <n v="0.019417475728155338"/>
        <n v="0.17777777777777778"/>
        <n v="0.13541666666666666"/>
        <n v="0.18888888888888888"/>
        <n v="0.26506024096385544"/>
        <n v="0.09782608695652174"/>
        <n v="0.08974358974358974"/>
        <n v="0.13253012048192772"/>
        <n v="0.20454545454545456"/>
        <n v="0.22580645161290322"/>
        <n v="0.125"/>
        <n v="0.25252525252525254"/>
        <n v="0.13953488372093023"/>
        <n v="0.13414634146341464"/>
        <n v="0.036585365853658534"/>
        <n v="0.03409090909090909"/>
        <n v="0.07633587786259542"/>
        <n v="0.18421052631578946"/>
        <n v="0.27129337539432175"/>
        <n v="0.02359882005899705"/>
        <n v="0.3022598870056497"/>
        <n v="0.10625"/>
        <n v="0.1873198847262248"/>
        <n v="0.23684210526315788"/>
        <n v="0.09939759036144578"/>
        <n v="0.2916666666666667"/>
        <n v="0.2891566265060241"/>
        <n v="0.23835616438356164"/>
        <n v="0.12418300653594772"/>
        <n v="0.24193548387096775"/>
        <n v="0.16225165562913907"/>
        <n v="0.18387096774193548"/>
        <n v="0.10163934426229508"/>
        <n v="0.20294117647058824"/>
        <n v="0.2459546925566343"/>
        <n v="0.10130718954248366"/>
        <n v="0.10355987055016182"/>
        <n v="0.11929824561403508"/>
        <n v="0.1984732824427481"/>
        <n v="0.05660377358490566"/>
        <n v="0.078125"/>
        <n v="0.19047619047619047"/>
        <n v="0.015873015873015872"/>
        <n v="0.16666666666666666"/>
        <n v="0.0958904109589041"/>
        <n v="0.14864864864864866"/>
        <n v="0.2054794520547945"/>
        <n v="0.19230769230769232"/>
        <n v="0.2125"/>
        <n v="0.18666666666666668"/>
        <n v="0.04721030042918455"/>
        <n v="0.02834008097165992"/>
        <n v="0.0984251968503937"/>
        <n v="0.004081632653061225"/>
        <n v="0.06147540983606557"/>
        <n v="0.07380073800738007"/>
        <n v="0.04861111111111111"/>
        <n v="0.21568627450980393"/>
        <n v="0.07296137339055794"/>
        <n v="0.23109243697478993"/>
        <n v="0.08045977011494253"/>
        <n v="0.011111111111111112"/>
        <n v="0.08021390374331551"/>
        <n v="0.005208333333333333"/>
        <n v="0.11413043478260869"/>
        <n v="0.08121827411167512"/>
        <n v="0.1016949152542373"/>
        <n v="0.16167664670658682"/>
        <n v="0.16230366492146597"/>
        <n v="0.03783783783783784"/>
        <n v="0.037037037037037035"/>
        <n v="0.3597560975609756"/>
        <n v="0.09467455621301775"/>
        <n v="0.29545454545454547"/>
        <n v="0.052083333333333336"/>
        <n v="0.22527472527472528"/>
        <n v="0.22277227722772278"/>
        <n v="0.07547169811320754"/>
        <n v="0.22641509433962265"/>
        <n v="0.05063291139240506"/>
        <n v="0.3409090909090909"/>
        <n v="0.256198347107438"/>
        <n v="0.24803149606299213"/>
        <n v="0.2862903225806452"/>
        <n v="0.40293040293040294"/>
        <n v="0.19205298013245034"/>
        <n v="0.1232876712328767"/>
        <n v="0.15827338129496402"/>
        <n v="0.22875816993464052"/>
        <n v="0.36923076923076925"/>
        <n v="0.07480314960629922"/>
        <n v="0.3438735177865613"/>
        <n v="0.3018292682926829"/>
        <n v="0.12631578947368421"/>
        <n v="0.12098765432098765"/>
        <n v="0.1522248243559719"/>
        <n v="0.13681592039800994"/>
        <n v="0.1561712846347607"/>
        <n v="0.04470588235294118"/>
        <n v="0.2555831265508685"/>
        <n v="0.3325"/>
        <n v="0.14681440443213298"/>
        <n v="0.10497237569060773"/>
        <n v="0.010554089709762533"/>
        <n v="0.29974811083123426"/>
        <n v="0.39429928741092635"/>
        <n v="0.32574031890660593"/>
        <n v="0.0170316301703163"/>
        <n v="0.42482100238663484"/>
        <n v="0.2033096926713948"/>
        <n v="0.35071090047393366"/>
        <n v="0.007246376811594203"/>
        <n v="0.03233830845771144"/>
        <n v="0.34594594594594597"/>
        <n v="0.3475609756097561"/>
        <n v="0.2633832976445396"/>
        <n v="0.20309050772626933"/>
        <n v="0.04020979020979021"/>
        <n v="0.1206581352833638"/>
        <n v="0.02"/>
        <n v="0.2979094076655052"/>
        <n v="0.07109004739336493"/>
        <n v="0.015600624024960999"/>
        <n v="0.06531204644412192"/>
        <n v="0.11379310344827587"/>
        <n v="0.3456998313659359"/>
        <n v="0.24856321839080459"/>
        <n v="0.29239766081871343"/>
        <n v="0.1317365269461078"/>
        <n v="0.21818181818181817"/>
        <n v="0.09876543209876543"/>
        <n v="0.4011627906976744"/>
        <n v="0.0972972972972973"/>
        <n v="0.2640449438202247"/>
        <n v="0.12883435582822086"/>
        <n v="0.049689440993788817"/>
        <n v="0.32947976878612717"/>
        <n v="0.08333333333333333"/>
        <n v="0.2521489971346705"/>
        <n v="0.19623655913978494"/>
        <n v="0.26649746192893403"/>
        <n v="0.10880829015544041"/>
        <n v="0.005249343832020997"/>
        <n v="0.22404371584699453"/>
        <n v="0.3253588516746411"/>
        <n v="0.002398081534772182"/>
        <n v="0.4051724137931034"/>
        <n v="0.0387409200968523"/>
        <n v="0.23255813953488372"/>
        <n v="0.1284153005464481"/>
        <n v="0.022292993630573247"/>
        <n v="0.029940119760479042"/>
        <n v="0.35405405405405405"/>
        <n v="0.22922636103151864"/>
        <n v="0.026246719160104987"/>
        <n v="0.2704714640198511"/>
        <n v="0.25227963525835867"/>
        <n v="0.24624624624624625"/>
        <n v="0.38095238095238093"/>
        <n v="0.07142857142857142"/>
        <n v="0.06962025316455696"/>
        <n v="0.34096692111959287"/>
        <n v="0.2949438202247191"/>
        <n v="0.10501193317422435"/>
        <n v="0.25555555555555554"/>
        <n v="0.18510158013544017"/>
        <n v="0.23382045929018788"/>
        <n v="0.23985239852398524"/>
        <n v="0.3295880149812734"/>
        <n v="0.3657957244655582"/>
        <n v="0.10619469026548672"/>
        <n v="0.3967136150234742"/>
        <n v="0.25748502994011974"/>
        <n v="0.05787781350482315"/>
        <n v="0.042704626334519574"/>
        <n v="0.10437710437710437"/>
        <n v="0.37910447761194027"/>
        <n v="0.34195402298850575"/>
        <n v="0.32575757575757575"/>
        <n v="0.3333333333333333"/>
        <n v="0.1906005221932115"/>
        <n v="0.02976190476190476"/>
        <n v="0.13367609254498714"/>
        <n v="0.37425149700598803"/>
        <n v="0.19607843137254902"/>
      </sharedItems>
    </cacheField>
    <cacheField name="Forecast Accuracy" numFmtId="10">
      <sharedItems containsSemiMixedTypes="0" containsString="0" containsNumber="1">
        <n v="0.9942889777270132"/>
        <n v="0.9412643106022897"/>
        <n v="0.9434647302904564"/>
        <n v="0.8925387142186767"/>
        <n v="0.8789275240888144"/>
        <n v="0.9801508535132989"/>
        <n v="0.9716688800354139"/>
        <n v="0.967601738443303"/>
        <n v="0.8735471873547187"/>
        <n v="0.9338051623646961"/>
        <n v="0.9742765273311897"/>
        <n v="0.8841870824053453"/>
        <n v="0.9646706586826347"/>
        <n v="0.9666452854393842"/>
        <n v="0.8803367408298256"/>
        <n v="0.9759277833500501"/>
        <n v="0.9182547642928787"/>
        <n v="0.978917378917379"/>
        <n v="0.8894105372978612"/>
        <n v="0.8750670241286863"/>
        <n v="0.9112394957983193"/>
        <n v="0.919527293190771"/>
        <n v="0.9573964497041421"/>
        <n v="0.9750982961992136"/>
        <n v="0.9323098394975575"/>
        <n v="0.9717159019484601"/>
        <n v="0.9969116738727609"/>
        <n v="0.945303867403315"/>
        <n v="0.9938990571270105"/>
        <n v="0.9258639910813824"/>
        <n v="0.9637641968631693"/>
        <n v="0.9460900473933649"/>
        <n v="0.9874421678783873"/>
        <n v="0.9666666666666667"/>
        <n v="0.9512195121951219"/>
        <n v="0.9537537537537537"/>
        <n v="0.9082483781278962"/>
        <n v="0.989344262295082"/>
        <n v="0.8996478873239436"/>
        <n v="0.9411764705882353"/>
        <n v="0.9914330218068536"/>
        <n v="0.9648729446935725"/>
        <n v="0.996551724137931"/>
        <n v="0.9794466403162055"/>
        <n v="0.9688552188552189"/>
        <n v="0.9582577132486388"/>
        <n v="0.906832298136646"/>
        <n v="0.99140708915145"/>
        <n v="0.9118942731277533"/>
        <n v="0.9756795422031473"/>
        <n v="0.9594694178334562"/>
        <n v="0.9993476842791911"/>
        <n v="0.9893175074183976"/>
        <n v="0.9063912201420271"/>
        <n v="0.9248940036341611"/>
        <n v="0.9687304565353346"/>
        <n v="0.9093333333333333"/>
        <n v="0.9653102068045364"/>
        <n v="0.9931600547195623"/>
        <n v="0.9460458240946046"/>
        <n v="0.9248595505617978"/>
        <n v="0.9433691756272401"/>
        <n v="0.9415509259259259"/>
        <n v="0.9975859987929994"/>
        <n v="0.9550629119233074"/>
        <n v="0.9300155520995335"/>
        <n v="0.9377753303964758"/>
        <n v="0.8955135773317592"/>
        <n v="0.9698725376593279"/>
        <n v="0.9343401181877873"/>
        <n v="0.9280133928571429"/>
        <n v="0.9681697612732095"/>
        <n v="0.9078080903104422"/>
        <n v="0.9287003610108303"/>
        <n v="0.9713292788879235"/>
        <n v="0.8840947546531303"/>
        <n v="0.9206106870229007"/>
        <n v="0.8758389261744967"/>
        <n v="0.9783743475018642"/>
        <n v="0.951114922813036"/>
        <n v="0.9726962457337884"/>
        <n v="0.9801038062283737"/>
        <n v="0.9808970099667774"/>
        <n v="0.9245115452930728"/>
        <n v="0.9194078947368421"/>
        <n v="0.9974468085106383"/>
        <n v="0.9477031802120142"/>
        <n v="0.8709422011084719"/>
        <n v="0.9408999328408327"/>
        <n v="1.0"/>
        <n v="0.9182763744427934"/>
        <n v="0.8930296756383713"/>
        <n v="0.8883572567783095"/>
        <n v="0.8805078416728902"/>
        <n v="0.9234930448222566"/>
        <n v="0.970906068162926"/>
        <n v="0.9177592371871275"/>
        <n v="0.9407965554359526"/>
        <n v="0.8978102189781022"/>
        <n v="0.9486910994764398"/>
        <n v="0.9282982791586998"/>
        <n v="0.9845402766476811"/>
        <n v="0.9567796610169491"/>
        <n v="0.9713114754098361"/>
        <n v="0.9635555555555555"/>
        <n v="0.9472477064220184"/>
        <n v="0.9393241167434716"/>
        <n v="0.9725321888412017"/>
        <n v="0.914626075446724"/>
        <n v="0.9737827715355806"/>
        <n v="0.9977937120794264"/>
        <n v="0.8775100401606426"/>
        <n v="0.9708596406022341"/>
        <n v="0.8816534541336354"/>
        <n v="0.8758202927814235"/>
        <n v="0.8938756428237494"/>
        <n v="0.9687150837988827"/>
        <n v="0.9797673242286292"/>
        <n v="0.9414176918570591"/>
        <n v="0.9188078108941419"/>
        <n v="0.8919107391910739"/>
        <n v="0.9677661169415293"/>
        <n v="0.9318323952470294"/>
        <n v="0.9380139152435167"/>
        <n v="0.9966909331568498"/>
        <n v="0.9204069419509275"/>
        <n v="0.904093567251462"/>
        <n v="0.9699346405228758"/>
        <n v="0.9466403162055336"/>
        <n v="0.9229181004817619"/>
        <n v="0.9965893587994543"/>
        <n v="0.9647887323943662"/>
        <n v="0.8945888966971187"/>
        <n v="0.9958702064896755"/>
        <n v="0.9099201824401368"/>
        <n v="0.9183279742765273"/>
        <n v="0.9218836565096953"/>
        <n v="0.9129994941831057"/>
        <n v="0.9428571428571428"/>
        <n v="0.9006458022851466"/>
        <n v="0.9814293753517164"/>
        <n v="0.891213389121339"/>
        <n v="0.9842319430315362"/>
        <n v="0.9334990677439403"/>
        <n v="0.9763387297633873"/>
        <n v="0.9809278350515463"/>
        <n v="0.8975609756097561"/>
        <n v="0.9100055897149245"/>
        <n v="0.9838546922300706"/>
        <n v="0.91455078125"/>
        <n v="0.9876712328767123"/>
        <n v="0.9675759135357694"/>
        <n v="0.9092446448703495"/>
        <n v="0.9912023460410557"/>
        <n v="0.8884565499351491"/>
        <n v="0.8762541806020067"/>
        <n v="0.8852071005917159"/>
        <n v="0.9455362156092083"/>
        <n v="0.9388794567062818"/>
        <n v="0.9680741503604532"/>
        <n v="0.8771106941838649"/>
        <n v="0.9699714013346044"/>
        <n v="0.9932825794894761"/>
        <n v="0.8960176991150443"/>
        <n v="0.9724818276220145"/>
        <n v="0.9632352941176471"/>
        <n v="0.961892247043364"/>
        <n v="0.9728260869565217"/>
        <n v="0.9515250544662309"/>
        <n v="0.9651767151767152"/>
        <n v="0.9006888633754305"/>
        <n v="0.8925759280089989"/>
        <n v="0.9989177489177489"/>
        <n v="0.9408658922914467"/>
        <n v="0.8935144609991236"/>
        <n v="0.9349593495934959"/>
        <n v="0.998911860718172"/>
        <n v="0.9698765432098766"/>
        <n v="0.9814634146341463"/>
        <n v="0.9183451279259662"/>
        <n v="0.9934747145187602"/>
        <n v="0.9297945205479452"/>
        <n v="0.9718934911242604"/>
        <n v="0.9280626780626781"/>
        <n v="0.9919839679358717"/>
        <n v="0.9504249291784702"/>
        <n v="0.9689722042663219"/>
        <n v="0.9372869802317655"/>
        <n v="0.8984848484848484"/>
        <n v="0.9749357326478149"/>
        <n v="0.9570284049526584"/>
        <n v="0.9666203059805285"/>
        <n v="0.9780346820809248"/>
        <n v="0.9104016477857878"/>
        <n v="0.9040307101727447"/>
        <n v="0.9509594882729211"/>
        <n v="0.9430051813471503"/>
        <n v="0.888268156424581"/>
        <n v="0.987985212569316"/>
        <n v="0.9086395233366436"/>
        <n v="0.9858088930936613"/>
        <n v="0.9187165775401069"/>
        <n v="0.8990228013029316"/>
        <n v="0.9824390243902439"/>
        <n v="0.892075078206465"/>
        <n v="0.9923554706163402"/>
        <n v="0.9355575868372943"/>
        <n v="0.9167904903417533"/>
        <n v="0.9699812382739212"/>
        <n v="0.9902955447728276"/>
        <n v="0.9607476635514018"/>
        <n v="0.9655172413793104"/>
        <n v="0.9114481409001957"/>
        <n v="0.8985576923076923"/>
        <n v="0.9211045364891519"/>
        <n v="0.9661971830985916"/>
        <n v="0.9980506822612085"/>
        <n v="0.9584503088152723"/>
        <n v="0.8763636363636363"/>
        <n v="0.9834368530020704"/>
        <n v="0.9812606473594548"/>
        <n v="0.8962750716332378"/>
        <n v="0.9168915272531031"/>
        <n v="0.9814726840855107"/>
        <n v="0.9876819708846585"/>
        <n v="0.9770759042282221"/>
        <n v="0.9328039095907147"/>
        <n v="0.9235511713933415"/>
        <n v="0.9737561509021323"/>
        <n v="0.9823651452282157"/>
        <n v="0.8724489795918368"/>
        <n v="0.9443387250237869"/>
        <n v="0.9002506265664161"/>
        <n v="0.9958810068649886"/>
        <n v="0.8985319516407599"/>
        <n v="0.9139928698752228"/>
        <n v="0.9632056451612904"/>
        <n v="0.8918000970402717"/>
        <n v="0.9739027283511269"/>
        <n v="0.9005145797598628"/>
        <n v="0.9907692307692307"/>
        <n v="0.9778633301251203"/>
        <n v="0.8993928881179531"/>
        <n v="0.9113345521023766"/>
        <n v="0.9019097222222222"/>
        <n v="0.9748201438848921"/>
        <n v="0.9640190088255262"/>
        <n v="0.9943502824858758"/>
        <n v="0.9501404494382022"/>
        <n v="0.9220679012345679"/>
        <n v="0.933587786259542"/>
        <n v="0.9698841698841699"/>
        <n v="0.9875518672199171"/>
        <n v="0.9471332836932241"/>
        <n v="0.9474412171507607"/>
        <n v="0.9419439008480104"/>
        <n v="0.8902842035690681"/>
        <n v="0.9914191419141914"/>
        <n v="0.9094052558782849"/>
        <n v="0.9174484052532833"/>
        <n v="0.9914953933380581"/>
        <n v="0.9739583333333334"/>
        <n v="0.9674850696748507"/>
        <n v="0.885952712100139"/>
        <n v="0.9868297271872061"/>
        <n v="0.9124767225325885"/>
        <n v="0.9733777038269551"/>
        <n v="0.9718875502008032"/>
        <n v="0.9770925110132158"/>
        <n v="0.9717472118959107"/>
        <n v="0.9491803278688524"/>
        <n v="0.961439588688946"/>
        <n v="0.9696412143514259"/>
        <n v="0.971375807940905"/>
        <n v="0.9789029535864979"/>
        <n v="0.906764168190128"/>
        <n v="0.9206349206349207"/>
        <n v="0.9169139465875371"/>
        <n v="0.9180546302465024"/>
        <n v="0.9092113982770047"/>
        <n v="0.9226260257913247"/>
        <n v="0.9699769053117783"/>
        <n v="0.8959749085206482"/>
        <n v="0.9900783289817232"/>
        <n v="0.970440251572327"/>
        <n v="0.8997333333333333"/>
        <n v="0.9811664641555286"/>
        <n v="0.9192372406057207"/>
        <n v="0.9873577749683944"/>
        <n v="0.9650218613366646"/>
        <n v="0.9599282296650717"/>
        <n v="0.9709677419354839"/>
        <n v="0.915"/>
        <n v="0.9547149706979222"/>
        <n v="0.993421052631579"/>
        <n v="0.9664582148948266"/>
        <n v="0.9788536449638287"/>
        <n v="0.9158444573418456"/>
        <n v="0.9644473173884939"/>
        <n v="0.9955271565495207"/>
        <n v="0.9513064133016627"/>
        <n v="0.9451697127937336"/>
        <n v="0.9110122358175751"/>
        <n v="0.9901423877327492"/>
        <n v="0.9719525350593312"/>
        <n v="0.9390125847047435"/>
        <n v="0.8731417244796829"/>
        <n v="0.9923150816522575"/>
        <n v="0.9944506104328524"/>
        <n v="0.9956850053937433"/>
        <n v="0.9846491228070176"/>
        <n v="0.887402452619844"/>
        <n v="0.969079939668175"/>
        <n v="0.937046004842615"/>
        <n v="0.9333333333333333"/>
        <n v="0.9243167484232656"/>
        <n v="0.9646621202727836"/>
        <n v="0.9654775604142692"/>
        <n v="0.9957856712823601"/>
        <n v="0.9525222551928784"/>
        <n v="0.9666048237476809"/>
        <n v="0.9622781065088757"/>
        <n v="0.9673063255152807"/>
        <n v="0.9336626676076217"/>
        <n v="0.9648526077097506"/>
        <n v="0.9417372881355932"/>
        <n v="0.9570200573065902"/>
        <n v="0.9786614936954413"/>
        <n v="0.8918156161806209"/>
        <n v="0.8882783882783882"/>
        <n v="0.9666931007137193"/>
        <n v="0.8864661654135338"/>
        <n v="0.9892638036809815"/>
        <n v="0.9809128630705394"/>
        <n v="0.9027266028002947"/>
        <n v="0.9825145711906744"/>
        <n v="0.9777647747220597"/>
        <n v="0.9821634062140391"/>
        <n v="0.9197802197802197"/>
        <n v="0.9909255898366606"/>
        <n v="0.9402597402597402"/>
        <n v="0.9989071038251366"/>
        <n v="0.9961089494163424"/>
        <n v="0.9893390191897654"/>
        <n v="0.9597806215722121"/>
        <n v="0.9464841319228375"/>
        <n v="0.9747508305647841"/>
        <n v="0.9259807549962991"/>
        <n v="0.9498432601880877"/>
        <n v="0.971919770773639"/>
        <n v="0.9509605662285137"/>
        <n v="0.907061266874351"/>
        <n v="0.9739256397875422"/>
        <n v="0.989517819706499"/>
        <n v="0.9548907882241215"/>
        <n v="0.9283154121863799"/>
        <n v="0.9953751284686536"/>
        <n v="0.9675186368477103"/>
        <n v="0.9700924415443175"/>
        <n v="0.9224615384615384"/>
        <n v="0.9648318042813455"/>
        <n v="0.9693621295831241"/>
        <n v="0.9601181683899557"/>
        <n v="0.9487051792828686"/>
        <n v="0.9869735128093791"/>
        <n v="0.993879472693032"/>
        <n v="0.9441899208663057"/>
        <n v="0.9990740740740741"/>
        <n v="0.922889214250854"/>
        <n v="0.9312470365101944"/>
        <n v="0.9686697483307652"/>
        <n v="0.9673105497771174"/>
        <n v="0.9308831596269884"/>
        <n v="0.9362174154187466"/>
        <n v="0.934675615212528"/>
        <n v="0.9576979832759469"/>
        <n v="0.9494199535962877"/>
        <n v="0.9730784237222005"/>
        <n v="0.9562864279766861"/>
        <n v="0.9804780876494024"/>
        <n v="0.9524959742351047"/>
        <n v="0.9836457917830076"/>
        <n v="0.9862951119232526"/>
        <n v="0.9324861000794281"/>
        <n v="0.925531914893617"/>
        <n v="0.9120622568093385"/>
        <n v="0.9696969696969697"/>
        <n v="0.9641097818437719"/>
        <n v="0.9823489477257298"/>
        <n v="0.891640866873065"/>
        <n v="0.9181494661921709"/>
        <n v="0.9132915002852253"/>
        <n v="0.9032258064516129"/>
        <n v="0.9699646643109541"/>
        <n v="0.9001907183725366"/>
        <n v="0.9232209737827716"/>
        <n v="0.9895977808599168"/>
        <n v="0.9768076398362893"/>
        <n v="0.9367959949937422"/>
        <n v="0.974010632014176"/>
        <n v="0.966824644549763"/>
        <n v="0.9877408056042032"/>
        <n v="0.9429634221946683"/>
        <n v="0.9896907216494846"/>
        <n v="0.9667752442996743"/>
        <n v="0.9824120603015075"/>
        <n v="0.9759812536613942"/>
        <n v="0.9551321450522434"/>
        <n v="0.9729458917835672"/>
        <n v="0.9358452138492872"/>
        <n v="0.9482470784641068"/>
        <n v="0.9573934837092732"/>
        <n v="0.9581056466302368"/>
        <n v="0.9432624113475178"/>
        <n v="0.9832953682611997"/>
        <n v="0.9520325203252032"/>
        <n v="0.9368029739776952"/>
        <n v="0.9334677419354839"/>
        <n v="0.9239881539980257"/>
        <n v="0.9876923076923076"/>
        <n v="0.9693877551020408"/>
        <n v="0.998641304347826"/>
        <n v="0.8750796685787126"/>
        <n v="0.9251247920133111"/>
        <n v="0.9277301927194861"/>
        <n v="0.9050279329608939"/>
        <n v="0.994721689059501"/>
        <n v="0.96"/>
        <n v="0.9452332657200812"/>
        <n v="0.9470238095238095"/>
        <n v="0.9883008356545961"/>
        <n v="0.9341317365269461"/>
        <n v="0.8968503937007875"/>
        <n v="0.8727556596409055"/>
        <n v="0.8882466281310212"/>
        <n v="0.9133807369101486"/>
        <n v="0.973635806253832"/>
        <n v="0.9029395452024404"/>
        <n v="0.891875"/>
        <n v="0.9905312993161494"/>
        <n v="0.9655963302752294"/>
        <n v="0.897982062780269"/>
        <n v="0.9369034994697774"/>
        <n v="0.9528857479387515"/>
        <n v="0.9630836047774158"/>
        <n v="0.9891540130151844"/>
        <n v="0.9956379498364231"/>
        <n v="0.9357601713062098"/>
        <n v="0.959830866807611"/>
        <n v="0.9447791164658634"/>
        <n v="0.9330316742081448"/>
        <n v="0.9543973941368078"/>
        <n v="0.9554285714285714"/>
        <n v="0.9706242350061199"/>
        <n v="0.9966442953020134"/>
        <n v="0.9664053751399776"/>
        <n v="0.9823570924488356"/>
        <n v="0.943532501641497"/>
        <n v="0.8823529411764706"/>
        <n v="0.9752066115702479"/>
        <n v="0.8860759493670887"/>
        <n v="0.998780487804878"/>
        <n v="0.9963215974776668"/>
        <n v="0.9531696173615077"/>
        <n v="0.9768234492160872"/>
        <n v="0.9722054380664653"/>
        <n v="0.9852670349907919"/>
        <n v="0.973531310522918"/>
        <n v="0.9222707423580786"/>
        <n v="0.9258181818181819"/>
        <n v="0.9319826338639653"/>
        <n v="0.9891556932610379"/>
        <n v="0.9252095422308189"/>
        <n v="0.9673416067929458"/>
        <n v="0.9251369446135118"/>
        <n v="0.9956386292834891"/>
        <n v="0.9449236894492369"/>
        <n v="0.947800149142431"/>
        <n v="0.9847878302642114"/>
        <n v="0.9387755102040817"/>
        <n v="0.9820051413881749"/>
        <n v="0.9800498753117207"/>
        <n v="0.9892008639308856"/>
        <n v="0.9305263157894736"/>
        <n v="0.9774590163934426"/>
        <n v="0.9743119266055046"/>
        <n v="0.8533333333333333"/>
        <n v="0.9044585987261147"/>
        <n v="0.8707070707070708"/>
        <n v="0.851931330472103"/>
        <n v="0.8755364806866953"/>
        <n v="0.9935064935064936"/>
        <n v="0.8702791461412152"/>
        <n v="0.9740484429065744"/>
        <n v="0.9710365853658537"/>
        <n v="0.9950819672131147"/>
        <n v="0.9880059970014993"/>
        <n v="0.9114658925979681"/>
        <n v="0.80466472303207"/>
        <n v="0.9851351351351352"/>
        <n v="0.9654714475431607"/>
        <n v="0.864321608040201"/>
        <n v="0.974739970282318"/>
        <n v="0.8176020408163265"/>
        <n v="0.9274924471299093"/>
        <n v="0.9691780821917808"/>
        <n v="0.9175824175824175"/>
        <n v="0.8854166666666666"/>
        <n v="0.9624277456647399"/>
        <n v="0.8642659279778393"/>
        <n v="0.9119638826185101"/>
        <n v="0.9146919431279621"/>
        <n v="0.9725"/>
        <n v="0.9280397022332506"/>
        <n v="0.995049504950495"/>
        <n v="0.8820861678004535"/>
        <n v="0.9596602972399151"/>
        <n v="0.9732313575525813"/>
        <n v="0.9368635437881874"/>
        <n v="0.8377862595419847"/>
        <n v="0.9146141215106732"/>
        <n v="0.9577922077922078"/>
        <n v="0.9651741293532339"/>
        <n v="0.9224806201550387"/>
        <n v="0.8764478764478765"/>
        <n v="0.9484346224677717"/>
        <n v="0.8650963597430407"/>
        <n v="0.821917808219178"/>
        <n v="0.9662337662337662"/>
        <n v="0.9494949494949495"/>
        <n v="0.959079283887468"/>
        <n v="0.9012048192771085"/>
        <n v="0.8611111111111112"/>
        <n v="0.9261213720316622"/>
        <n v="0.9787234042553191"/>
        <n v="0.8415300546448088"/>
        <n v="0.9129129129129129"/>
        <n v="0.8575757575757575"/>
        <n v="0.9812834224598931"/>
        <n v="0.8813559322033898"/>
        <n v="0.9475982532751092"/>
        <n v="0.8523908523908523"/>
        <n v="0.9006342494714588"/>
        <n v="0.9164882226980728"/>
        <n v="0.911231884057971"/>
        <n v="0.9102040816326531"/>
        <n v="0.8679245283018868"/>
        <n v="0.8720682302771855"/>
        <n v="0.8127572016460906"/>
        <n v="0.9106753812636166"/>
        <n v="0.9289940828402367"/>
        <n v="0.8945233265720081"/>
        <n v="0.9695740365111561"/>
        <n v="0.9416809605488851"/>
        <n v="0.8223443223443223"/>
        <n v="0.9041297935103245"/>
        <n v="0.9337175792507204"/>
        <n v="0.9778393351800554"/>
        <n v="0.8186889818688982"/>
        <n v="0.9108527131782945"/>
        <n v="0.8748335552596538"/>
        <n v="0.8471138845553823"/>
        <n v="0.9172510518934082"/>
        <n v="0.9437689969604863"/>
        <n v="0.945993031358885"/>
        <n v="0.9176029962546817"/>
        <n v="0.9608763693270735"/>
        <n v="0.9240506329113924"/>
        <n v="0.8372781065088757"/>
        <n v="0.9287749287749287"/>
        <n v="0.9614855570839065"/>
        <n v="0.9975062344139651"/>
        <n v="0.9487516425755584"/>
        <n v="0.8888888888888888"/>
        <n v="0.99039780521262"/>
        <n v="0.8272727272727273"/>
        <n v="0.9343283582089552"/>
        <n v="0.8031914893617021"/>
        <n v="0.8866995073891626"/>
        <n v="0.9105882352941177"/>
        <n v="0.9385026737967914"/>
        <n v="0.978021978021978"/>
        <n v="0.8740554156171285"/>
        <n v="0.8675675675675676"/>
        <n v="0.993993993993994"/>
        <n v="0.9762611275964391"/>
        <n v="0.9066265060240963"/>
        <n v="0.9839816933638444"/>
        <n v="0.9218106995884774"/>
        <n v="0.892116182572614"/>
        <n v="0.8672727272727273"/>
        <n v="0.9578059071729957"/>
        <n v="0.9711340206185567"/>
        <n v="0.9153543307086615"/>
        <n v="0.9331983805668016"/>
        <n v="0.9975961538461539"/>
        <n v="0.9242761692650334"/>
        <n v="0.9088729016786571"/>
        <n v="0.8582677165354331"/>
        <n v="0.8618421052631579"/>
        <n v="0.8646288209606987"/>
        <n v="0.8817966903073287"/>
        <n v="0.9664570230607966"/>
        <n v="0.9386503067484663"/>
        <n v="0.8670634920634921"/>
        <n v="0.9157427937915743"/>
        <n v="0.9932126696832579"/>
        <n v="0.9863636363636363"/>
        <n v="0.9148936170212766"/>
        <n v="0.8819969742813918"/>
        <n v="0.9175911251980983"/>
        <n v="0.9465317919075145"/>
        <n v="0.9645476772616137"/>
        <n v="0.8638132295719845"/>
        <n v="0.9510807736063709"/>
        <n v="0.8849347568208779"/>
        <n v="0.8018494055482166"/>
        <n v="0.9049255441008018"/>
        <n v="0.8966442953020134"/>
        <n v="0.9089635854341737"/>
        <n v="0.8631756756756757"/>
        <n v="0.8966565349544073"/>
        <n v="0.9302325581395349"/>
        <n v="0.9987357774968394"/>
        <n v="0.9962406015037594"/>
        <n v="0.8581644815256257"/>
        <n v="0.9690844233055886"/>
        <n v="0.9121387283236995"/>
        <n v="0.8532544378698225"/>
        <n v="0.9567979669631512"/>
        <n v="0.988833746898263"/>
        <n v="0.919908466819222"/>
        <n v="0.9523026315789473"/>
        <n v="0.8085867620751341"/>
        <n v="0.8447098976109215"/>
        <n v="0.9740458015267176"/>
        <n v="0.9675236806495264"/>
        <n v="0.9930167597765364"/>
        <n v="0.9482758620689655"/>
        <n v="0.810126582278481"/>
        <n v="0.9037593984962407"/>
        <n v="0.8694362017804154"/>
        <n v="0.8095975232198143"/>
        <n v="0.9706744868035191"/>
        <n v="0.9539473684210527"/>
        <n v="0.8622047244094488"/>
        <n v="0.996078431372549"/>
        <n v="0.8951890034364262"/>
        <n v="0.9330855018587361"/>
        <n v="0.9258620689655173"/>
        <n v="0.9454855195911414"/>
        <n v="0.9525423728813559"/>
        <n v="0.9861830742659758"/>
        <n v="0.8286778398510242"/>
        <n v="0.8561525129982669"/>
        <n v="0.8353909465020576"/>
        <n v="0.9214285714285715"/>
        <n v="0.95"/>
        <n v="0.8424908424908425"/>
        <n v="0.9112426035502958"/>
        <n v="0.9154929577464789"/>
        <n v="0.9420731707317073"/>
        <n v="0.9532710280373832"/>
        <n v="0.8081180811808117"/>
        <n v="0.9890510948905109"/>
        <n v="0.825938566552901"/>
        <n v="0.9126984126984127"/>
        <n v="0.9980769230769231"/>
        <n v="0.9115755627009646"/>
        <n v="0.8726235741444867"/>
        <n v="0.9418238993710691"/>
        <n v="0.8335949764521193"/>
        <n v="0.9246153846153846"/>
        <n v="0.9184692179700499"/>
        <n v="0.9036363636363637"/>
        <n v="0.9797160243407708"/>
        <n v="0.9410569105691057"/>
        <n v="0.9899749373433584"/>
        <n v="0.9186602870813397"/>
        <n v="0.9160671462829736"/>
        <n v="0.9396551724137931"/>
        <n v="0.9417670682730923"/>
        <n v="0.9364754098360656"/>
        <n v="0.9831932773109243"/>
        <n v="0.9172113289760349"/>
        <n v="0.9375"/>
        <n v="0.9359223300970874"/>
        <n v="0.8902439024390244"/>
        <n v="0.8879668049792531"/>
        <n v="0.9582132564841499"/>
        <n v="0.864570737605804"/>
        <n v="0.8765027322404372"/>
        <n v="0.8818565400843882"/>
        <n v="0.9929906542056075"/>
        <n v="0.9922394678492239"/>
        <n v="0.9856985698569857"/>
        <n v="0.9356913183279743"/>
        <n v="0.9041713641488163"/>
        <n v="0.8820809248554913"/>
        <n v="0.8642131979695431"/>
        <n v="0.92"/>
        <n v="0.8293918918918919"/>
        <n v="0.8755760368663594"/>
        <n v="0.8909090909090909"/>
        <n v="0.9611901681759379"/>
        <n v="0.9822888283378747"/>
        <n v="0.8810096153846154"/>
        <n v="0.836340206185567"/>
        <n v="0.99581589958159"/>
        <n v="0.9570637119113573"/>
        <n v="0.8318912237330037"/>
        <n v="0.8762755102040817"/>
        <n v="0.935374149659864"/>
        <n v="0.9753086419753086"/>
        <n v="0.8193146417445483"/>
        <n v="0.9730458221024259"/>
        <n v="0.9422572178477691"/>
        <n v="0.8708860759493671"/>
        <n v="0.9083769633507853"/>
        <n v="0.9851116625310173"/>
        <n v="0.9104046242774566"/>
        <n v="0.9253333333333333"/>
        <n v="0.9371584699453552"/>
        <n v="0.8626373626373627"/>
        <n v="0.9803921568627451"/>
        <n v="0.8069444444444445"/>
        <n v="0.9809523809523809"/>
        <n v="0.8686046511627907"/>
        <n v="0.977906976744186"/>
        <n v="0.9040793825799338"/>
        <n v="0.9914841849148418"/>
        <n v="0.9278846153846154"/>
        <n v="0.9931818181818182"/>
        <n v="0.8380434782608696"/>
        <n v="0.9828269484808454"/>
        <n v="0.9571428571428572"/>
        <n v="0.9419889502762431"/>
        <n v="0.9891304347826086"/>
        <n v="0.9348958333333334"/>
        <n v="0.8719806763285024"/>
        <n v="0.9004424778761062"/>
        <n v="0.9595744680851064"/>
        <n v="0.9175704989154013"/>
        <n v="0.983132530120482"/>
        <n v="0.893719806763285"/>
        <n v="0.9884526558891455"/>
        <n v="0.9876288659793815"/>
        <n v="0.8636363636363636"/>
        <n v="0.9438502673796791"/>
        <n v="0.9845360824742269"/>
        <n v="0.9536423841059603"/>
        <n v="0.9133333333333333"/>
        <n v="0.9184100418410042"/>
        <n v="0.8934624697336562"/>
        <n v="0.8732718894009217"/>
        <n v="0.8992248062015504"/>
        <n v="0.9653333333333334"/>
        <n v="0.9242424242424242"/>
        <n v="0.927765237020316"/>
        <n v="0.9805194805194806"/>
        <n v="0.9819639278557114"/>
        <n v="0.9683168316831683"/>
        <n v="0.962457337883959"/>
        <n v="0.8594507269789984"/>
        <n v="0.8843930635838151"/>
        <n v="0.9500924214417745"/>
        <n v="0.971042471042471"/>
        <n v="0.9593023255813954"/>
        <n v="0.9190207156308852"/>
        <n v="0.9141104294478528"/>
        <n v="0.8730769230769231"/>
        <n v="0.901060070671378"/>
        <n v="0.9536354056902002"/>
        <n v="0.9582542694497154"/>
        <n v="0.8896164639850328"/>
        <n v="0.8736654804270463"/>
        <n v="0.9690222652468539"/>
        <n v="0.9023696682464455"/>
        <n v="0.9692154915590864"/>
        <n v="0.9595314164004259"/>
        <n v="0.8572984749455338"/>
        <n v="0.9501779359430605"/>
        <n v="0.9965870307167235"/>
        <n v="0.9189944134078212"/>
        <n v="0.9259259259259259"/>
        <n v="0.8242811501597445"/>
        <n v="0.9281767955801105"/>
        <n v="0.9886363636363636"/>
        <n v="0.8834355828220859"/>
        <n v="0.9541284403669725"/>
        <n v="0.9088145896656535"/>
        <n v="0.8709677419354839"/>
        <n v="0.946236559139785"/>
        <n v="0.8674388674388674"/>
        <n v="0.8517555266579974"/>
        <n v="0.9656398104265402"/>
        <n v="0.9628681177976952"/>
        <n v="0.9772455089820359"/>
        <n v="0.8844672657252888"/>
        <n v="0.9074733096085409"/>
        <n v="0.9735516372795969"/>
        <n v="0.9301470588235294"/>
        <n v="0.8526048284625158"/>
        <n v="0.993006993006993"/>
        <n v="0.9273301737756714"/>
        <n v="0.9646464646464646"/>
        <n v="0.9016393442622951"/>
        <n v="0.9085239085239085"/>
        <n v="0.8616071428571428"/>
        <n v="0.928"/>
        <n v="0.9981751824817519"/>
        <n v="0.8933333333333333"/>
        <n v="0.892"/>
        <n v="0.9553752535496958"/>
        <n v="0.9672727272727273"/>
        <n v="0.9675090252707581"/>
        <n v="0.8884892086330936"/>
        <n v="0.9737991266375546"/>
        <n v="0.8949494949494949"/>
        <n v="0.8298245614035088"/>
        <n v="0.9570957095709571"/>
        <n v="0.9834710743801653"/>
        <n v="0.9894259818731118"/>
        <n v="0.838957055214724"/>
        <n v="0.8634920634920635"/>
        <n v="0.9732283464566929"/>
        <n v="0.8314785373608903"/>
        <n v="0.9658886894075404"/>
        <n v="0.84"/>
        <n v="0.9647058823529412"/>
        <n v="0.8538283062645011"/>
        <n v="0.8673469387755102"/>
        <n v="0.9544513457556936"/>
        <n v="0.9868995633187773"/>
        <n v="0.8705179282868526"/>
        <n v="0.8739316239316239"/>
        <n v="0.8813186813186813"/>
        <n v="0.9175946547884187"/>
        <n v="0.9514348785871964"/>
        <n v="0.925414364640884"/>
        <n v="0.8692098092643052"/>
        <n v="0.9111111111111111"/>
        <n v="0.8866544789762341"/>
        <n v="0.9798657718120806"/>
        <n v="0.9756521739130435"/>
        <n v="0.9968"/>
        <n v="0.9001782531194296"/>
        <n v="0.8672566371681416"/>
        <n v="0.9291736930860034"/>
        <n v="0.9825783972125436"/>
        <n v="0.8708133971291866"/>
        <n v="0.8579545454545454"/>
        <n v="0.9933665008291874"/>
        <n v="0.8363136176066025"/>
        <n v="0.9376657824933687"/>
        <n v="0.9663182346109176"/>
        <n v="0.8761706555671176"/>
        <n v="0.9536637931034483"/>
        <n v="0.9953810623556582"/>
        <n v="0.9806576402321083"/>
        <n v="0.881808838643371"/>
        <n v="0.8946135831381733"/>
        <n v="0.8113207547169812"/>
        <n v="0.9444444444444444"/>
        <n v="0.9761092150170648"/>
        <n v="0.909221902017291"/>
        <n v="0.9741144414168937"/>
        <n v="0.9902557856272838"/>
        <n v="0.867699642431466"/>
        <n v="0.8218181818181818"/>
        <n v="0.9631901840490797"/>
        <n v="0.8489208633093526"/>
        <n v="0.9411071849234394"/>
        <n v="0.985897435897436"/>
        <n v="0.9953596287703016"/>
        <n v="0.9256844850065189"/>
        <n v="0.9858823529411764"/>
        <n v="0.8521303258145363"/>
        <n v="0.8764044943820225"/>
        <n v="0.8984198645598194"/>
        <n v="0.8479657387580299"/>
        <n v="0.9505376344086022"/>
        <n v="0.9844789356984479"/>
        <n v="0.8661567877629063"/>
        <n v="0.9408033826638478"/>
        <n v="0.9001996007984032"/>
        <n v="0.9078947368421053"/>
        <n v="0.9810126582278481"/>
        <n v="0.7457627118644068"/>
        <n v="0.984251968503937"/>
        <n v="0.8814814814814815"/>
        <n v="0.8682170542635659"/>
        <n v="0.7553956834532374"/>
        <n v="0.8846153846153846"/>
        <n v="0.9319727891156463"/>
        <n v="0.9785714285714285"/>
        <n v="0.7906976744186046"/>
        <n v="0.9359999999999999"/>
        <n v="0.8275862068965517"/>
        <n v="0.8146853146853147"/>
        <n v="0.9288256227758007"/>
        <n v="0.889261744966443"/>
        <n v="0.9217081850533808"/>
        <n v="0.9090909090909091"/>
        <n v="0.9880952380952381"/>
        <n v="0.9006211180124224"/>
        <n v="0.7308868501529052"/>
        <n v="0.864406779661017"/>
        <n v="0.977491961414791"/>
        <n v="0.8108974358974359"/>
        <n v="0.934640522875817"/>
        <n v="0.9818840579710145"/>
        <n v="0.7543859649122807"/>
        <n v="0.7711267605633803"/>
        <n v="0.830945558739255"/>
        <n v="0.8053691275167785"/>
        <n v="0.84375"/>
        <n v="0.7601246105919003"/>
        <n v="0.7864077669902912"/>
        <n v="0.8020477815699658"/>
        <n v="0.916058394160584"/>
        <n v="0.8291814946619217"/>
        <n v="0.8082901554404145"/>
        <n v="0.7947368421052632"/>
        <n v="0.770949720670391"/>
        <n v="0.9574468085106383"/>
        <n v="0.9507389162561576"/>
        <n v="0.788546255506608"/>
        <n v="0.7428571428571429"/>
        <n v="0.7525773195876289"/>
        <n v="0.9883040935672515"/>
        <n v="0.9081632653061225"/>
        <n v="0.7784090909090909"/>
        <n v="0.839622641509434"/>
        <n v="0.8913043478260869"/>
        <n v="0.7904761904761904"/>
        <n v="0.9781659388646288"/>
        <n v="0.9819004524886877"/>
        <n v="0.9782608695652174"/>
        <n v="0.8603603603603603"/>
        <n v="0.9612068965517241"/>
        <n v="0.9191919191919192"/>
        <n v="0.9363636363636364"/>
        <n v="0.9514563106796117"/>
        <n v="0.9761904761904762"/>
        <n v="0.8141592920353982"/>
        <n v="0.9256198347107438"/>
        <n v="0.9596774193548387"/>
        <n v="0.9416058394160584"/>
        <n v="0.7627118644067796"/>
        <n v="0.7686567164179104"/>
        <n v="0.9745762711864406"/>
        <n v="0.8208955223880597"/>
        <n v="0.8915094339622641"/>
        <n v="0.9130434782608696"/>
        <n v="0.9029850746268657"/>
        <n v="0.9157088122605364"/>
        <n v="0.9404761904761905"/>
        <n v="0.8120300751879699"/>
        <n v="0.8955223880597015"/>
        <n v="0.8566666666666667"/>
        <n v="0.9618320610687023"/>
        <n v="0.8346456692913385"/>
        <n v="0.9405204460966543"/>
        <n v="0.8007518796992481"/>
        <n v="0.8137931034482758"/>
        <n v="0.8409090909090909"/>
        <n v="0.925"/>
        <n v="0.9657534246575342"/>
        <n v="0.7904191616766467"/>
        <n v="0.8524590163934427"/>
        <n v="0.7678571428571428"/>
        <n v="0.7625"/>
        <n v="0.9349112426035503"/>
        <n v="0.8104575163398693"/>
        <n v="0.8260869565217391"/>
        <n v="0.7014925373134329"/>
        <n v="0.7926829268292683"/>
        <n v="0.8227848101265822"/>
        <n v="0.8414634146341463"/>
        <n v="0.75"/>
        <n v="0.8144329896907216"/>
        <n v="0.9805825242718447"/>
        <n v="0.8222222222222222"/>
        <n v="0.8645833333333334"/>
        <n v="0.8111111111111111"/>
        <n v="0.7349397590361446"/>
        <n v="0.9021739130434783"/>
        <n v="0.9102564102564102"/>
        <n v="0.8674698795180723"/>
        <n v="0.7954545454545454"/>
        <n v="0.7741935483870968"/>
        <n v="0.875"/>
        <n v="0.7474747474747474"/>
        <n v="0.8604651162790697"/>
        <n v="0.8658536585365854"/>
        <n v="0.9634146341463414"/>
        <n v="0.9659090909090909"/>
        <n v="0.9236641221374046"/>
        <n v="0.8157894736842105"/>
        <n v="0.7287066246056783"/>
        <n v="0.976401179941003"/>
        <n v="0.6977401129943503"/>
        <n v="0.89375"/>
        <n v="0.8126801152737753"/>
        <n v="0.7631578947368421"/>
        <n v="0.9006024096385542"/>
        <n v="0.7083333333333333"/>
        <n v="0.7108433734939759"/>
        <n v="0.7616438356164383"/>
        <n v="0.8758169934640523"/>
        <n v="0.7580645161290323"/>
        <n v="0.8377483443708609"/>
        <n v="0.8161290322580645"/>
        <n v="0.898360655737705"/>
        <n v="0.7970588235294118"/>
        <n v="0.7540453074433657"/>
        <n v="0.8986928104575164"/>
        <n v="0.8964401294498382"/>
        <n v="0.8807017543859649"/>
        <n v="0.8015267175572519"/>
        <n v="0.9433962264150944"/>
        <n v="0.921875"/>
        <n v="0.8095238095238095"/>
        <n v="0.9841269841269842"/>
        <n v="0.8333333333333334"/>
        <n v="0.904109589041096"/>
        <n v="0.8513513513513513"/>
        <n v="0.7945205479452055"/>
        <n v="0.8076923076923077"/>
        <n v="0.7875"/>
        <n v="0.8133333333333334"/>
        <n v="0.9527896995708155"/>
        <n v="0.97165991902834"/>
        <n v="0.9015748031496063"/>
        <n v="0.9959183673469387"/>
        <n v="0.9385245901639344"/>
        <n v="0.9261992619926199"/>
        <n v="0.9513888888888888"/>
        <n v="0.7843137254901961"/>
        <n v="0.927038626609442"/>
        <n v="0.76890756302521"/>
        <n v="0.9195402298850575"/>
        <n v="0.9888888888888889"/>
        <n v="0.9197860962566845"/>
        <n v="0.9947916666666666"/>
        <n v="0.8858695652173914"/>
        <n v="0.9187817258883249"/>
        <n v="0.8983050847457628"/>
        <n v="0.8383233532934131"/>
        <n v="0.837696335078534"/>
        <n v="0.9621621621621621"/>
        <n v="0.962962962962963"/>
        <n v="0.6402439024390244"/>
        <n v="0.9053254437869822"/>
        <n v="0.7045454545454546"/>
        <n v="0.9479166666666666"/>
        <n v="0.7747252747252747"/>
        <n v="0.7772277227722773"/>
        <n v="0.9245283018867925"/>
        <n v="0.7735849056603774"/>
        <n v="0.9493670886075949"/>
        <n v="0.6590909090909092"/>
        <n v="0.743801652892562"/>
        <n v="0.7519685039370079"/>
        <n v="0.7137096774193548"/>
        <n v="0.5970695970695971"/>
        <n v="0.8079470198675497"/>
        <n v="0.8767123287671232"/>
        <n v="0.841726618705036"/>
        <n v="0.7712418300653595"/>
        <n v="0.6307692307692307"/>
        <n v="0.9251968503937008"/>
        <n v="0.6561264822134387"/>
        <n v="0.6981707317073171"/>
        <n v="0.8736842105263158"/>
        <n v="0.8790123456790123"/>
        <n v="0.8477751756440282"/>
        <n v="0.8631840796019901"/>
        <n v="0.8438287153652393"/>
        <n v="0.9552941176470588"/>
        <n v="0.7444168734491314"/>
        <n v="0.6675"/>
        <n v="0.853185595567867"/>
        <n v="0.8950276243093923"/>
        <n v="0.9894459102902374"/>
        <n v="0.7002518891687657"/>
        <n v="0.6057007125890737"/>
        <n v="0.6742596810933941"/>
        <n v="0.9829683698296837"/>
        <n v="0.5751789976133652"/>
        <n v="0.7966903073286052"/>
        <n v="0.6492890995260663"/>
        <n v="0.9927536231884058"/>
        <n v="0.9676616915422885"/>
        <n v="0.654054054054054"/>
        <n v="0.6524390243902439"/>
        <n v="0.7366167023554604"/>
        <n v="0.7969094922737306"/>
        <n v="0.9597902097902098"/>
        <n v="0.8793418647166362"/>
        <n v="0.98"/>
        <n v="0.7020905923344948"/>
        <n v="0.9289099526066351"/>
        <n v="0.984399375975039"/>
        <n v="0.9346879535558781"/>
        <n v="0.8862068965517241"/>
        <n v="0.6543001686340641"/>
        <n v="0.7514367816091954"/>
        <n v="0.7076023391812866"/>
        <n v="0.8682634730538922"/>
        <n v="0.7818181818181819"/>
        <n v="0.9012345679012346"/>
        <n v="0.5988372093023255"/>
        <n v="0.9027027027027027"/>
        <n v="0.7359550561797753"/>
        <n v="0.8711656441717791"/>
        <n v="0.9503105590062112"/>
        <n v="0.6705202312138728"/>
        <n v="0.9166666666666666"/>
        <n v="0.7478510028653296"/>
        <n v="0.803763440860215"/>
        <n v="0.733502538071066"/>
        <n v="0.8911917098445596"/>
        <n v="0.994750656167979"/>
        <n v="0.7759562841530054"/>
        <n v="0.6746411483253589"/>
        <n v="0.9976019184652278"/>
        <n v="0.5948275862068966"/>
        <n v="0.9612590799031477"/>
        <n v="0.7674418604651163"/>
        <n v="0.8715846994535519"/>
        <n v="0.9777070063694268"/>
        <n v="0.9700598802395209"/>
        <n v="0.645945945945946"/>
        <n v="0.7707736389684814"/>
        <n v="0.973753280839895"/>
        <n v="0.7295285359801489"/>
        <n v="0.7477203647416413"/>
        <n v="0.7537537537537538"/>
        <n v="0.6190476190476191"/>
        <n v="0.9285714285714286"/>
        <n v="0.930379746835443"/>
        <n v="0.6590330788804071"/>
        <n v="0.7050561797752809"/>
        <n v="0.8949880668257757"/>
        <n v="0.7444444444444445"/>
        <n v="0.8148984198645598"/>
        <n v="0.7661795407098121"/>
        <n v="0.7601476014760148"/>
        <n v="0.6704119850187267"/>
        <n v="0.6342042755344418"/>
        <n v="0.8938053097345133"/>
        <n v="0.6032863849765258"/>
        <n v="0.7425149700598803"/>
        <n v="0.9421221864951769"/>
        <n v="0.9572953736654805"/>
        <n v="0.8956228956228957"/>
        <n v="0.6208955223880597"/>
        <n v="0.6580459770114943"/>
        <n v="0.6742424242424243"/>
        <n v="0.6666666666666667"/>
        <n v="0.8093994778067886"/>
        <n v="0.9702380952380952"/>
        <n v="0.8663239074550129"/>
        <n v="0.625748502994012"/>
        <n v="0.803921568627451"/>
      </sharedItems>
    </cacheField>
    <cacheField name="Bias" numFmtId="0">
      <sharedItems containsSemiMixedTypes="0" containsString="0" containsNumber="1" containsInteger="1">
        <n v="-10.0"/>
        <n v="-118.0"/>
        <n v="-109.0"/>
        <n v="-229.0"/>
        <n v="-289.0"/>
        <n v="50.0"/>
        <n v="64.0"/>
        <n v="-82.0"/>
        <n v="-272.0"/>
        <n v="-159.0"/>
        <n v="56.0"/>
        <n v="-260.0"/>
        <n v="-59.0"/>
        <n v="-52.0"/>
        <n v="-199.0"/>
        <n v="48.0"/>
        <n v="-163.0"/>
        <n v="-37.0"/>
        <n v="-212.0"/>
        <n v="-233.0"/>
        <n v="-169.0"/>
        <n v="-143.0"/>
        <n v="-72.0"/>
        <n v="38.0"/>
        <n v="97.0"/>
        <n v="-45.0"/>
        <n v="5.0"/>
        <n v="99.0"/>
        <n v="11.0"/>
        <n v="133.0"/>
        <n v="-67.0"/>
        <n v="-91.0"/>
        <n v="-19.0"/>
        <n v="-54.0"/>
        <n v="77.0"/>
        <n v="-99.0"/>
        <n v="-13.0"/>
        <n v="-114.0"/>
        <n v="-68.0"/>
        <n v="-11.0"/>
        <n v="-47.0"/>
        <n v="4.0"/>
        <n v="-26.0"/>
        <n v="-46.0"/>
        <n v="-90.0"/>
        <n v="-8.0"/>
        <n v="-120.0"/>
        <n v="-34.0"/>
        <n v="55.0"/>
        <n v="1.0"/>
        <n v="-18.0"/>
        <n v="-145.0"/>
        <n v="-124.0"/>
        <n v="-136.0"/>
        <n v="52.0"/>
        <n v="-73.0"/>
        <n v="-107.0"/>
        <n v="-79.0"/>
        <n v="-101.0"/>
        <n v="75.0"/>
        <n v="-135.0"/>
        <n v="-113.0"/>
        <n v="-177.0"/>
        <n v="-100.0"/>
        <n v="-129.0"/>
        <n v="-48.0"/>
        <n v="-98.0"/>
        <n v="-33.0"/>
        <n v="-137.0"/>
        <n v="-104.0"/>
        <n v="-148.0"/>
        <n v="-29.0"/>
        <n v="-57.0"/>
        <n v="-32.0"/>
        <n v="-23.0"/>
        <n v="23.0"/>
        <n v="-85.0"/>
        <n v="98.0"/>
        <n v="-3.0"/>
        <n v="74.0"/>
        <n v="163.0"/>
        <n v="88.0"/>
        <n v="0.0"/>
        <n v="110.0"/>
        <n v="155.0"/>
        <n v="140.0"/>
        <n v="160.0"/>
        <n v="35.0"/>
        <n v="-69.0"/>
        <n v="-55.0"/>
        <n v="-112.0"/>
        <n v="-49.0"/>
        <n v="-75.0"/>
        <n v="-51.0"/>
        <n v="-35.0"/>
        <n v="-41.0"/>
        <n v="129.0"/>
        <n v="-42.0"/>
        <n v="-4.0"/>
        <n v="244.0"/>
        <n v="60.0"/>
        <n v="209.0"/>
        <n v="246.0"/>
        <n v="227.0"/>
        <n v="40.0"/>
        <n v="100.0"/>
        <n v="158.0"/>
        <n v="43.0"/>
        <n v="109.0"/>
        <n v="-5.0"/>
        <n v="164.0"/>
        <n v="46.0"/>
        <n v="81.0"/>
        <n v="112.0"/>
        <n v="-150.0"/>
        <n v="7.0"/>
        <n v="-158.0"/>
        <n v="-127.0"/>
        <n v="-141.0"/>
        <n v="-172.0"/>
        <n v="-200.0"/>
        <n v="-182.0"/>
        <n v="-31.0"/>
        <n v="-189.0"/>
        <n v="-161.0"/>
        <n v="-175.0"/>
        <n v="-27.0"/>
        <n v="-63.0"/>
        <n v="-15.0"/>
        <n v="-185.0"/>
        <n v="-194.0"/>
        <n v="-97.0"/>
        <n v="-108.0"/>
        <n v="-62.0"/>
        <n v="-262.0"/>
        <n v="15.0"/>
        <n v="-235.0"/>
        <n v="-53.0"/>
        <n v="-70.0"/>
        <n v="-87.0"/>
        <n v="-89.0"/>
        <n v="67.0"/>
        <n v="-173.0"/>
        <n v="-191.0"/>
        <n v="-2.0"/>
        <n v="-243.0"/>
        <n v="-144.0"/>
        <n v="2.0"/>
        <n v="61.0"/>
        <n v="8.0"/>
        <n v="12.0"/>
        <n v="-92.0"/>
        <n v="-134.0"/>
        <n v="39.0"/>
        <n v="59.0"/>
        <n v="19.0"/>
        <n v="87.0"/>
        <n v="120.0"/>
        <n v="92.0"/>
        <n v="76.0"/>
        <n v="93.0"/>
        <n v="207.0"/>
        <n v="16.0"/>
        <n v="141.0"/>
        <n v="168.0"/>
        <n v="22.0"/>
        <n v="84.0"/>
        <n v="70.0"/>
        <n v="181.0"/>
        <n v="211.0"/>
        <n v="-74.0"/>
        <n v="-204.0"/>
        <n v="32.0"/>
        <n v="-181.0"/>
        <n v="-154.0"/>
        <n v="-39.0"/>
        <n v="-22.0"/>
        <n v="45.0"/>
        <n v="-110.0"/>
        <n v="275.0"/>
        <n v="117.0"/>
        <n v="199.0"/>
        <n v="-9.0"/>
        <n v="235.0"/>
        <n v="193.0"/>
        <n v="73.0"/>
        <n v="223.0"/>
        <n v="-44.0"/>
        <n v="174.0"/>
        <n v="9.0"/>
        <n v="-116.0"/>
        <n v="53.0"/>
        <n v="-71.0"/>
        <n v="71.0"/>
        <n v="89.0"/>
        <n v="166.0"/>
        <n v="131.0"/>
        <n v="132.0"/>
        <n v="-12.0"/>
        <n v="49.0"/>
        <n v="14.0"/>
        <n v="94.0"/>
        <n v="26.0"/>
        <n v="62.0"/>
        <n v="-25.0"/>
        <n v="102.0"/>
        <n v="-105.0"/>
        <n v="-123.0"/>
        <n v="-132.0"/>
        <n v="47.0"/>
        <n v="-188.0"/>
        <n v="31.0"/>
        <n v="-20.0"/>
        <n v="153.0"/>
        <n v="13.0"/>
        <n v="-38.0"/>
        <n v="145.0"/>
        <n v="41.0"/>
        <n v="42.0"/>
        <n v="80.0"/>
        <n v="63.0"/>
        <n v="128.0"/>
        <n v="101.0"/>
        <n v="104.0"/>
        <n v="105.0"/>
        <n v="108.0"/>
        <n v="57.0"/>
        <n v="-7.0"/>
        <n v="-80.0"/>
        <n v="54.0"/>
        <n v="51.0"/>
        <n v="-94.0"/>
        <n v="-115.0"/>
        <n v="-122.0"/>
        <n v="-151.0"/>
        <n v="-14.0"/>
        <n v="21.0"/>
        <n v="-146.0"/>
        <n v="-66.0"/>
        <n v="-86.0"/>
        <n v="96.0"/>
        <n v="179.0"/>
        <n v="-95.0"/>
        <n v="-61.0"/>
        <n v="126.0"/>
        <n v="69.0"/>
        <n v="-81.0"/>
        <n v="-103.0"/>
        <n v="30.0"/>
        <n v="66.0"/>
        <n v="-126.0"/>
        <n v="146.0"/>
        <n v="-30.0"/>
        <n v="170.0"/>
        <n v="-138.0"/>
        <n v="-152.0"/>
        <n v="-147.0"/>
        <n v="-157.0"/>
        <n v="34.0"/>
        <n v="-56.0"/>
        <n v="28.0"/>
        <n v="27.0"/>
        <n v="72.0"/>
        <n v="68.0"/>
        <n v="-77.0"/>
        <n v="-196.0"/>
        <n v="-187.0"/>
        <n v="-21.0"/>
        <n v="-121.0"/>
        <n v="-131.0"/>
        <n v="-174.0"/>
        <n v="-43.0"/>
        <n v="18.0"/>
        <n v="-60.0"/>
        <n v="-119.0"/>
        <n v="24.0"/>
        <n v="3.0"/>
        <n v="-168.0"/>
        <n v="36.0"/>
        <n v="-171.0"/>
        <n v="-24.0"/>
        <n v="-102.0"/>
        <n v="-50.0"/>
        <n v="123.0"/>
        <n v="83.0"/>
        <n v="-78.0"/>
        <n v="33.0"/>
        <n v="-58.0"/>
        <n v="79.0"/>
        <n v="134.0"/>
        <n v="17.0"/>
        <n v="143.0"/>
        <n v="-36.0"/>
        <n v="-40.0"/>
        <n v="-64.0"/>
        <n v="-28.0"/>
        <n v="20.0"/>
        <n v="58.0"/>
        <n v="29.0"/>
        <n v="44.0"/>
        <n v="91.0"/>
        <n v="65.0"/>
        <n v="-16.0"/>
        <n v="-130.0"/>
        <n v="37.0"/>
        <n v="-1.0"/>
        <n v="6.0"/>
        <n v="78.0"/>
        <n v="150.0"/>
        <n v="-65.0"/>
        <n v="124.0"/>
        <n v="107.0"/>
        <n v="-17.0"/>
        <n v="135.0"/>
        <n v="-83.0"/>
        <n v="-106.0"/>
        <n v="113.0"/>
        <n v="85.0"/>
        <n v="-6.0"/>
        <n v="-139.0"/>
        <n v="-149.0"/>
        <n v="25.0"/>
        <n v="-84.0"/>
        <n v="142.0"/>
        <n v="114.0"/>
        <n v="90.0"/>
        <n v="10.0"/>
        <n v="-88.0"/>
        <n v="119.0"/>
        <n v="115.0"/>
        <n v="-111.0"/>
        <n v="-96.0"/>
        <n v="-76.0"/>
        <n v="103.0"/>
        <n v="-166.0"/>
        <n v="-178.0"/>
        <n v="86.0"/>
        <n v="-128.0"/>
        <n v="171.0"/>
        <n v="-205.0"/>
        <n v="173.0"/>
        <n v="82.0"/>
        <n v="-176.0"/>
        <n v="118.0"/>
        <n v="-125.0"/>
      </sharedItems>
    </cacheField>
    <cacheField name="Bias_Interpretation" numFmtId="0">
      <sharedItems>
        <s v="Under Forecast"/>
        <s v="Over Forecast"/>
        <s v="Accurate Forecast"/>
      </sharedItems>
    </cacheField>
    <cacheField name="RSFE" numFmtId="0">
      <sharedItems containsSemiMixedTypes="0" containsString="0" containsNumber="1" containsInteger="1">
        <n v="-10.0"/>
        <n v="-128.0"/>
        <n v="-109.0"/>
        <n v="-338.0"/>
        <n v="-289.0"/>
        <n v="-239.0"/>
        <n v="64.0"/>
        <n v="-18.0"/>
        <n v="-272.0"/>
        <n v="-431.0"/>
        <n v="56.0"/>
        <n v="-204.0"/>
        <n v="-59.0"/>
        <n v="-111.0"/>
        <n v="-199.0"/>
        <n v="-151.0"/>
        <n v="-163.0"/>
        <n v="-200.0"/>
        <n v="-212.0"/>
        <n v="-445.0"/>
        <n v="-169.0"/>
        <n v="-312.0"/>
        <n v="-72.0"/>
        <n v="-34.0"/>
        <n v="97.0"/>
        <n v="52.0"/>
        <n v="5.0"/>
        <n v="104.0"/>
        <n v="11.0"/>
        <n v="144.0"/>
        <n v="-67.0"/>
        <n v="-158.0"/>
        <n v="-19.0"/>
        <n v="-73.0"/>
        <n v="-99.0"/>
        <n v="-112.0"/>
        <n v="-114.0"/>
        <n v="-182.0"/>
        <n v="-11.0"/>
        <n v="-58.0"/>
        <n v="4.0"/>
        <n v="-22.0"/>
        <n v="-37.0"/>
        <n v="-83.0"/>
        <n v="-90.0"/>
        <n v="-98.0"/>
        <n v="-120.0"/>
        <n v="-154.0"/>
        <n v="55.0"/>
        <n v="-124.0"/>
        <n v="-74.0"/>
        <n v="-136.0"/>
        <n v="-84.0"/>
        <n v="-107.0"/>
        <n v="-186.0"/>
        <n v="-101.0"/>
        <n v="-97.0"/>
        <n v="75.0"/>
        <n v="-60.0"/>
        <n v="-113.0"/>
        <n v="-290.0"/>
        <n v="-52.0"/>
        <n v="-152.0"/>
        <n v="-129.0"/>
        <n v="-177.0"/>
        <n v="-33.0"/>
        <n v="-170.0"/>
        <n v="-104.0"/>
        <n v="-252.0"/>
        <n v="-29.0"/>
        <n v="-86.0"/>
        <n v="-32.0"/>
        <n v="-55.0"/>
        <n v="23.0"/>
        <n v="-62.0"/>
        <n v="98.0"/>
        <n v="95.0"/>
        <n v="74.0"/>
        <n v="237.0"/>
        <n v="88.0"/>
        <n v="110.0"/>
        <n v="265.0"/>
        <n v="140.0"/>
        <n v="300.0"/>
        <n v="99.0"/>
        <n v="134.0"/>
        <n v="-69.0"/>
        <n v="-161.0"/>
        <n v="-75.0"/>
        <n v="-94.0"/>
        <n v="-51.0"/>
        <n v="-41.0"/>
        <n v="-110.0"/>
        <n v="-79.0"/>
        <n v="129.0"/>
        <n v="87.0"/>
        <n v="-4.0"/>
        <n v="240.0"/>
        <n v="60.0"/>
        <n v="269.0"/>
        <n v="246.0"/>
        <n v="473.0"/>
        <n v="96.0"/>
        <n v="100.0"/>
        <n v="258.0"/>
        <n v="155.0"/>
        <n v="198.0"/>
        <n v="109.0"/>
        <n v="207.0"/>
        <n v="-5.0"/>
        <n v="128.0"/>
        <n v="164.0"/>
        <n v="210.0"/>
        <n v="81.0"/>
        <n v="193.0"/>
        <n v="-40.0"/>
        <n v="-150.0"/>
        <n v="-143.0"/>
        <n v="-285.0"/>
        <n v="-141.0"/>
        <n v="-313.0"/>
        <n v="-320.0"/>
        <n v="-215.0"/>
        <n v="-31.0"/>
        <n v="-138.0"/>
        <n v="38.0"/>
        <n v="1.0"/>
        <n v="-189.0"/>
        <n v="-350.0"/>
        <n v="-207.0"/>
        <n v="-27.0"/>
        <n v="-176.0"/>
        <n v="-172.0"/>
        <n v="-357.0"/>
        <n v="-194.0"/>
        <n v="-291.0"/>
        <n v="-108.0"/>
        <n v="-262.0"/>
        <n v="-325.0"/>
        <n v="15.0"/>
        <n v="-220.0"/>
        <n v="-53.0"/>
        <n v="-123.0"/>
        <n v="-87.0"/>
        <n v="-142.0"/>
        <n v="-89.0"/>
        <n v="-173.0"/>
        <n v="-364.0"/>
        <n v="-2.0"/>
        <n v="-243.0"/>
        <n v="-387.0"/>
        <n v="2.0"/>
        <n v="63.0"/>
        <n v="8.0"/>
        <n v="-63.0"/>
        <n v="12.0"/>
        <n v="-48.0"/>
        <n v="-140.0"/>
        <n v="-134.0"/>
        <n v="-95.0"/>
        <n v="59.0"/>
        <n v="19.0"/>
        <n v="106.0"/>
        <n v="146.0"/>
        <n v="175.0"/>
        <n v="-13.0"/>
        <n v="79.0"/>
        <n v="-15.0"/>
        <n v="61.0"/>
        <n v="93.0"/>
        <n v="223.0"/>
        <n v="141.0"/>
        <n v="309.0"/>
        <n v="86.0"/>
        <n v="84.0"/>
        <n v="154.0"/>
        <n v="181.0"/>
        <n v="392.0"/>
        <n v="160.0"/>
        <n v="220.0"/>
        <n v="-3.0"/>
        <n v="-77.0"/>
        <n v="-214.0"/>
        <n v="-193.0"/>
        <n v="-234.0"/>
        <n v="48.0"/>
        <n v="14.0"/>
        <n v="275.0"/>
        <n v="199.0"/>
        <n v="190.0"/>
        <n v="235.0"/>
        <n v="428.0"/>
        <n v="73.0"/>
        <n v="296.0"/>
        <n v="-44.0"/>
        <n v="130.0"/>
        <n v="9.0"/>
        <n v="32.0"/>
        <n v="-116.0"/>
        <n v="-213.0"/>
        <n v="-148.0"/>
        <n v="53.0"/>
        <n v="-71.0"/>
        <n v="76.0"/>
        <n v="165.0"/>
        <n v="166.0"/>
        <n v="153.0"/>
        <n v="131.0"/>
        <n v="263.0"/>
        <n v="-12.0"/>
        <n v="49.0"/>
        <n v="213.0"/>
        <n v="108.0"/>
        <n v="3.0"/>
        <n v="26.0"/>
        <n v="62.0"/>
        <n v="17.0"/>
        <n v="-64.0"/>
        <n v="-25.0"/>
        <n v="77.0"/>
        <n v="-105.0"/>
        <n v="-217.0"/>
        <n v="-260.0"/>
        <n v="-132.0"/>
        <n v="-184.0"/>
        <n v="-218.0"/>
        <n v="47.0"/>
        <n v="31.0"/>
        <n v="-20.0"/>
        <n v="36.0"/>
        <n v="68.0"/>
        <n v="13.0"/>
        <n v="-46.0"/>
        <n v="-38.0"/>
        <n v="107.0"/>
        <n v="41.0"/>
        <n v="83.0"/>
        <n v="80.0"/>
        <n v="71.0"/>
        <n v="89.0"/>
        <n v="136.0"/>
        <n v="-9.0"/>
        <n v="115.0"/>
        <n v="145.0"/>
        <n v="105.0"/>
        <n v="57.0"/>
        <n v="117.0"/>
        <n v="-7.0"/>
        <n v="54.0"/>
        <n v="46.0"/>
        <n v="-45.0"/>
        <n v="-115.0"/>
        <n v="-237.0"/>
        <n v="-42.0"/>
        <n v="-14.0"/>
        <n v="69.0"/>
        <n v="-146.0"/>
        <n v="-117.0"/>
        <n v="7.0"/>
        <n v="-66.0"/>
        <n v="276.0"/>
        <n v="-54.0"/>
        <n v="45.0"/>
        <n v="-81.0"/>
        <n v="30.0"/>
        <n v="127.0"/>
        <n v="-126.0"/>
        <n v="-241.0"/>
        <n v="-178.0"/>
        <n v="-118.0"/>
        <n v="-30.0"/>
        <n v="-91.0"/>
        <n v="-39.0"/>
        <n v="-26.0"/>
        <n v="-201.0"/>
        <n v="-147.0"/>
        <n v="-198.0"/>
        <n v="-157.0"/>
        <n v="-280.0"/>
        <n v="-145.0"/>
        <n v="-56.0"/>
        <n v="-35.0"/>
        <n v="-92.0"/>
        <n v="-76.0"/>
        <n v="51.0"/>
        <n v="27.0"/>
        <n v="-36.0"/>
        <n v="-65.0"/>
        <n v="-196.0"/>
        <n v="-331.0"/>
        <n v="-135.0"/>
        <n v="-322.0"/>
        <n v="-80.0"/>
        <n v="-197.0"/>
        <n v="-21.0"/>
        <n v="-131.0"/>
        <n v="-294.0"/>
        <n v="-174.0"/>
        <n v="-308.0"/>
        <n v="-43.0"/>
        <n v="-155.0"/>
        <n v="-242.0"/>
        <n v="-119.0"/>
        <n v="39.0"/>
        <n v="-168.0"/>
        <n v="-171.0"/>
        <n v="34.0"/>
        <n v="-24.0"/>
        <n v="94.0"/>
        <n v="-166.0"/>
        <n v="123.0"/>
        <n v="116.0"/>
        <n v="-61.0"/>
        <n v="-16.0"/>
        <n v="-8.0"/>
        <n v="82.0"/>
        <n v="24.0"/>
        <n v="50.0"/>
        <n v="78.0"/>
        <n v="33.0"/>
        <n v="16.0"/>
        <n v="29.0"/>
        <n v="-47.0"/>
        <n v="70.0"/>
        <n v="91.0"/>
        <n v="132.0"/>
        <n v="-130.0"/>
        <n v="-192.0"/>
        <n v="-28.0"/>
        <n v="-57.0"/>
        <n v="-49.0"/>
        <n v="125.0"/>
        <n v="20.0"/>
        <n v="6.0"/>
        <n v="-1.0"/>
        <n v="66.0"/>
        <n v="37.0"/>
        <n v="35.0"/>
        <n v="42.0"/>
        <n v="0.0"/>
        <n v="43.0"/>
        <n v="150.0"/>
        <n v="233.0"/>
        <n v="149.0"/>
        <n v="102.0"/>
        <n v="124.0"/>
        <n v="90.0"/>
        <n v="152.0"/>
        <n v="103.0"/>
        <n v="-100.0"/>
        <n v="22.0"/>
        <n v="44.0"/>
        <n v="-122.0"/>
        <n v="112.0"/>
        <n v="225.0"/>
        <n v="-106.0"/>
        <n v="209.0"/>
        <n v="-153.0"/>
        <n v="-226.0"/>
        <n v="-233.0"/>
        <n v="-68.0"/>
        <n v="-139.0"/>
        <n v="-149.0"/>
        <n v="21.0"/>
        <n v="18.0"/>
        <n v="-6.0"/>
        <n v="147.0"/>
        <n v="142.0"/>
        <n v="174.0"/>
        <n v="-103.0"/>
        <n v="58.0"/>
        <n v="-78.0"/>
        <n v="40.0"/>
        <n v="10.0"/>
        <n v="-191.0"/>
        <n v="-17.0"/>
        <n v="65.0"/>
        <n v="119.0"/>
        <n v="250.0"/>
        <n v="-50.0"/>
        <n v="-23.0"/>
        <n v="25.0"/>
        <n v="28.0"/>
        <n v="-96.0"/>
        <n v="-183.0"/>
        <n v="120.0"/>
        <n v="236.0"/>
        <n v="-185.0"/>
        <n v="182.0"/>
        <n v="111.0"/>
        <n v="-205.0"/>
        <n v="-88.0"/>
        <n v="157.0"/>
        <n v="239.0"/>
        <n v="159.0"/>
        <n v="194.0"/>
        <n v="-306.0"/>
        <n v="118.0"/>
        <n v="-125.0"/>
        <n v="-195.0"/>
      </sharedItems>
    </cacheField>
    <cacheField name="MAD" numFmtId="4">
      <sharedItems containsSemiMixedTypes="0" containsString="0" containsNumber="1">
        <n v="10.0"/>
        <n v="64.0"/>
        <n v="79.0"/>
        <n v="116.5"/>
        <n v="151.0"/>
        <n v="134.16666666666666"/>
        <n v="124.14285714285714"/>
        <n v="118.875"/>
        <n v="135.88888888888889"/>
        <n v="138.2"/>
        <n v="130.72727272727272"/>
        <n v="141.5"/>
        <n v="135.15384615384616"/>
        <n v="129.21428571428572"/>
        <n v="133.86666666666667"/>
        <n v="128.5"/>
        <n v="130.52941176470588"/>
        <n v="125.33333333333333"/>
        <n v="129.89473684210526"/>
        <n v="135.05"/>
        <n v="136.66666666666666"/>
        <n v="136.95454545454547"/>
        <n v="134.1304347826087"/>
        <n v="130.125"/>
        <n v="128.8"/>
        <n v="125.57692307692308"/>
        <n v="121.11111111111111"/>
        <n v="120.32142857142857"/>
        <n v="116.55172413793103"/>
        <n v="117.1"/>
        <n v="115.48387096774194"/>
        <n v="114.71875"/>
        <n v="111.81818181818181"/>
        <n v="110.11764705882354"/>
        <n v="109.02857142857142"/>
        <n v="108.13888888888889"/>
        <n v="107.89189189189189"/>
        <n v="105.39473684210526"/>
        <n v="105.61538461538461"/>
        <n v="104.675"/>
        <n v="102.39024390243902"/>
        <n v="101.07142857142857"/>
        <n v="98.81395348837209"/>
        <n v="97.1590909090909"/>
        <n v="95.82222222222222"/>
        <n v="94.73913043478261"/>
        <n v="94.63829787234043"/>
        <n v="92.83333333333333"/>
        <n v="93.38775510204081"/>
        <n v="92.2"/>
        <n v="91.47058823529412"/>
        <n v="89.73076923076923"/>
        <n v="88.37735849056604"/>
        <n v="89.42592592592592"/>
        <n v="90.05454545454545"/>
        <n v="89.33928571428571"/>
        <n v="90.15789473684211"/>
        <n v="89.5"/>
        <n v="88.15254237288136"/>
        <n v="87.9"/>
        <n v="88.21311475409836"/>
        <n v="88.06451612903226"/>
        <n v="88.26984126984127"/>
        <n v="86.953125"/>
        <n v="86.76923076923077"/>
        <n v="87.5"/>
        <n v="87.88059701492537"/>
        <n v="89.19117647058823"/>
        <n v="88.65217391304348"/>
        <n v="88.81428571428572"/>
        <n v="89.38028169014085"/>
        <n v="88.80555555555556"/>
        <n v="88.93150684931507"/>
        <n v="88.79729729729729"/>
        <n v="88.05333333333333"/>
        <n v="88.69736842105263"/>
        <n v="88.8961038961039"/>
        <n v="89.65384615384616"/>
        <n v="88.88607594936708"/>
        <n v="88.4875"/>
        <n v="87.79012345679013"/>
        <n v="87.0"/>
        <n v="86.2289156626506"/>
        <n v="86.21428571428571"/>
        <n v="86.3529411764706"/>
        <n v="85.38372093023256"/>
        <n v="85.25287356321839"/>
        <n v="86.13636363636364"/>
        <n v="86.15730337078652"/>
        <n v="85.2"/>
        <n v="85.47252747252747"/>
        <n v="86.22826086956522"/>
        <n v="86.80645161290323"/>
        <n v="87.58510638297872"/>
        <n v="87.70526315789473"/>
        <n v="87.15625"/>
        <n v="86.96907216494846"/>
        <n v="86.64285714285714"/>
        <n v="86.8989898989899"/>
        <n v="86.52"/>
        <n v="86.4059405940594"/>
        <n v="85.74509803921569"/>
        <n v="85.40776699029126"/>
        <n v="84.92307692307692"/>
        <n v="84.5047619047619"/>
        <n v="84.35849056603773"/>
        <n v="84.30841121495327"/>
        <n v="83.82407407407408"/>
        <n v="84.23853211009174"/>
        <n v="83.85454545454546"/>
        <n v="83.13513513513513"/>
        <n v="84.57142857142857"/>
        <n v="84.35398230088495"/>
        <n v="85.44736842105263"/>
        <n v="86.84347826086956"/>
        <n v="88.05172413793103"/>
        <n v="87.77777777777777"/>
        <n v="87.37288135593221"/>
        <n v="87.47899159663865"/>
        <n v="88.06666666666666"/>
        <n v="88.6198347107438"/>
        <n v="88.24590163934427"/>
        <n v="88.41463414634147"/>
        <n v="88.49193548387096"/>
        <n v="87.824"/>
        <n v="88.18253968253968"/>
        <n v="88.77952755905511"/>
        <n v="88.4453125"/>
        <n v="88.3875968992248"/>
        <n v="88.56923076923077"/>
        <n v="87.93129770992367"/>
        <n v="87.60606060606061"/>
        <n v="88.07518796992481"/>
        <n v="87.47014925373135"/>
        <n v="87.99259259259259"/>
        <n v="88.27941176470588"/>
        <n v="88.66423357664233"/>
        <n v="89.26811594202898"/>
        <n v="89.48920863309353"/>
        <n v="90.27857142857142"/>
        <n v="89.87234042553192"/>
        <n v="90.52112676056338"/>
        <n v="90.1048951048951"/>
        <n v="90.22222222222223"/>
        <n v="89.86206896551724"/>
        <n v="90.17687074829932"/>
        <n v="90.6554054054054"/>
        <n v="90.26174496644295"/>
        <n v="90.82666666666667"/>
        <n v="90.40397350993378"/>
        <n v="90.22368421052632"/>
        <n v="90.68627450980392"/>
        <n v="90.1948051948052"/>
        <n v="90.72258064516129"/>
        <n v="91.32692307692308"/>
        <n v="91.98089171974522"/>
        <n v="92.0126582278481"/>
        <n v="92.11320754716981"/>
        <n v="91.925"/>
        <n v="92.98136645962732"/>
        <n v="92.79629629629629"/>
        <n v="92.31901840490798"/>
        <n v="93.1890243902439"/>
        <n v="92.94545454545455"/>
        <n v="92.80722891566265"/>
        <n v="92.77245508982035"/>
        <n v="92.54761904761905"/>
        <n v="92.5266272189349"/>
        <n v="92.37647058823529"/>
        <n v="92.84795321637426"/>
        <n v="93.4186046511628"/>
        <n v="92.89017341040463"/>
        <n v="93.0"/>
        <n v="93.85714285714286"/>
        <n v="94.14204545454545"/>
        <n v="93.62146892655367"/>
        <n v="93.43820224719101"/>
        <n v="93.12849162011173"/>
        <n v="93.44444444444444"/>
        <n v="92.97237569060773"/>
        <n v="92.91208791208791"/>
        <n v="92.6120218579235"/>
        <n v="92.65760869565217"/>
        <n v="92.22162162162162"/>
        <n v="92.10215053763442"/>
        <n v="91.8663101604278"/>
        <n v="91.86702127659575"/>
        <n v="92.08994708994709"/>
        <n v="91.81052631578947"/>
        <n v="91.63874345549738"/>
        <n v="91.41145833333333"/>
        <n v="91.03626943005182"/>
        <n v="91.01546391752578"/>
        <n v="91.06153846153846"/>
        <n v="90.83163265306122"/>
        <n v="90.6497461928934"/>
        <n v="90.79797979797979"/>
        <n v="90.4070351758794"/>
        <n v="90.415"/>
        <n v="90.03980099502488"/>
        <n v="89.97029702970298"/>
        <n v="89.98522167487685"/>
        <n v="89.63235294117646"/>
        <n v="90.20487804878049"/>
        <n v="89.84466019417475"/>
        <n v="90.09178743961353"/>
        <n v="90.46634615384616"/>
        <n v="90.33971291866028"/>
        <n v="90.01428571428572"/>
        <n v="89.98578199052133"/>
        <n v="89.89150943396227"/>
        <n v="90.31924882629107"/>
        <n v="90.88317757009345"/>
        <n v="91.2046511627907"/>
        <n v="91.06018518518519"/>
        <n v="90.65437788018433"/>
        <n v="90.57798165137615"/>
        <n v="91.0958904109589"/>
        <n v="90.82727272727273"/>
        <n v="90.56561085972851"/>
        <n v="90.97297297297297"/>
        <n v="91.25560538116592"/>
        <n v="91.02232142857143"/>
        <n v="90.71555555555555"/>
        <n v="90.51327433628319"/>
        <n v="90.59911894273128"/>
        <n v="90.74561403508773"/>
        <n v="90.5589519650655"/>
        <n v="90.31304347826087"/>
        <n v="91.11255411255411"/>
        <n v="91.22413793103448"/>
        <n v="91.68669527896996"/>
        <n v="91.33333333333333"/>
        <n v="91.94468085106384"/>
        <n v="92.37288135593221"/>
        <n v="92.29113924050633"/>
        <n v="92.84033613445378"/>
        <n v="92.63598326359832"/>
        <n v="92.975"/>
        <n v="92.6265560165975"/>
        <n v="92.33884297520662"/>
        <n v="92.43621399176955"/>
        <n v="92.45491803278688"/>
        <n v="92.53877551020408"/>
        <n v="92.3048780487805"/>
        <n v="92.14574898785425"/>
        <n v="91.80645161290323"/>
        <n v="91.72289156626506"/>
        <n v="91.76"/>
        <n v="91.7410358565737"/>
        <n v="91.53174603174604"/>
        <n v="91.2292490118577"/>
        <n v="91.14960629921259"/>
        <n v="91.09019607843138"/>
        <n v="91.08203125"/>
        <n v="91.37354085603113"/>
        <n v="91.06976744186046"/>
        <n v="91.22393822393822"/>
        <n v="91.38076923076923"/>
        <n v="91.07662835249042"/>
        <n v="90.86259541984732"/>
        <n v="90.70342205323193"/>
        <n v="90.98106060606061"/>
        <n v="90.69056603773585"/>
        <n v="90.703007518797"/>
        <n v="90.48314606741573"/>
        <n v="90.27611940298507"/>
        <n v="90.03717472118959"/>
        <n v="89.84444444444445"/>
        <n v="89.74169741697418"/>
        <n v="89.57720588235294"/>
        <n v="89.36996336996337"/>
        <n v="89.15693430656934"/>
        <n v="88.92363636363636"/>
        <n v="88.97101449275362"/>
        <n v="89.028880866426"/>
        <n v="89.11151079136691"/>
        <n v="89.23297491039426"/>
        <n v="89.40357142857142"/>
        <n v="89.55516014234875"/>
        <n v="89.42198581560284"/>
        <n v="89.80918727915194"/>
        <n v="89.55985915492958"/>
        <n v="89.41052631578947"/>
        <n v="89.75524475524476"/>
        <n v="89.55052264808363"/>
        <n v="89.73958333333333"/>
        <n v="89.49826989619378"/>
        <n v="89.38275862068966"/>
        <n v="89.30584192439862"/>
        <n v="89.1541095890411"/>
        <n v="89.37201365187714"/>
        <n v="89.35714285714286"/>
        <n v="89.09830508474576"/>
        <n v="88.99662162162163"/>
        <n v="88.82491582491582"/>
        <n v="89.01342281879195"/>
        <n v="88.89966555183946"/>
        <n v="88.62666666666667"/>
        <n v="88.46843853820597"/>
        <n v="88.31456953642385"/>
        <n v="88.2871287128713"/>
        <n v="88.02631578947368"/>
        <n v="87.82295081967213"/>
        <n v="87.74183006535948"/>
        <n v="87.8729641693811"/>
        <n v="87.61363636363636"/>
        <n v="87.3462783171521"/>
        <n v="87.07741935483871"/>
        <n v="86.84244372990354"/>
        <n v="86.88782051282051"/>
        <n v="86.74121405750799"/>
        <n v="86.79617834394904"/>
        <n v="86.85396825396825"/>
        <n v="86.92088607594937"/>
        <n v="86.82649842271293"/>
        <n v="86.74213836477988"/>
        <n v="86.4921630094044"/>
        <n v="86.471875"/>
        <n v="86.37071651090342"/>
        <n v="86.26086956521739"/>
        <n v="86.13622291021672"/>
        <n v="86.1604938271605"/>
        <n v="85.99076923076923"/>
        <n v="85.8957055214724"/>
        <n v="85.77064220183486"/>
        <n v="85.57621951219512"/>
        <n v="85.66565349544074"/>
        <n v="85.77575757575758"/>
        <n v="85.64350453172206"/>
        <n v="85.84036144578313"/>
        <n v="85.62462462462463"/>
        <n v="85.437125748503"/>
        <n v="85.57611940298507"/>
        <n v="85.38392857142857"/>
        <n v="85.2433234421365"/>
        <n v="85.0828402366864"/>
        <n v="85.26253687315634"/>
        <n v="85.05588235294118"/>
        <n v="85.14369501466275"/>
        <n v="84.90058479532163"/>
        <n v="84.6734693877551"/>
        <n v="84.48546511627907"/>
        <n v="84.43188405797102"/>
        <n v="84.4364161849711"/>
        <n v="84.30259365994236"/>
        <n v="84.34770114942529"/>
        <n v="84.3810888252149"/>
        <n v="84.28"/>
        <n v="84.31623931623932"/>
        <n v="84.58522727272727"/>
        <n v="84.4985835694051"/>
        <n v="84.31638418079096"/>
        <n v="84.34647887323943"/>
        <n v="84.50280898876404"/>
        <n v="84.29131652661064"/>
        <n v="84.22625698324022"/>
        <n v="84.14484679665738"/>
        <n v="84.2611111111111"/>
        <n v="84.21883656509695"/>
        <n v="84.15469613259668"/>
        <n v="84.14600550964187"/>
        <n v="84.1978021978022"/>
        <n v="84.04931506849314"/>
        <n v="83.85519125683061"/>
        <n v="83.99182561307902"/>
        <n v="83.76902173913044"/>
        <n v="83.97018970189701"/>
        <n v="84.13513513513513"/>
        <n v="84.07277628032345"/>
        <n v="84.0241935483871"/>
        <n v="84.1367292225201"/>
        <n v="84.2192513368984"/>
        <n v="84.384"/>
        <n v="84.38829787234043"/>
        <n v="84.45358090185677"/>
        <n v="84.41269841269842"/>
        <n v="84.46701846965699"/>
        <n v="84.37368421052632"/>
        <n v="84.46194225721784"/>
        <n v="84.34816753926701"/>
        <n v="84.20626631853786"/>
        <n v="84.4296875"/>
        <n v="84.44675324675325"/>
        <n v="84.52072538860104"/>
        <n v="84.40310077519379"/>
        <n v="84.31701030927834"/>
        <n v="84.16709511568124"/>
        <n v="84.4"/>
        <n v="84.53708439897699"/>
        <n v="84.70918367346938"/>
        <n v="84.8676844783715"/>
        <n v="84.78172588832487"/>
        <n v="84.96455696202531"/>
        <n v="85.06060606060606"/>
        <n v="84.88413098236776"/>
        <n v="84.75628140703517"/>
        <n v="84.796992481203"/>
        <n v="84.695"/>
        <n v="84.62344139650872"/>
        <n v="84.46517412935323"/>
        <n v="84.48387096774194"/>
        <n v="84.31435643564356"/>
        <n v="84.2320987654321"/>
        <n v="84.0935960591133"/>
        <n v="83.987714987715"/>
        <n v="83.96078431372548"/>
        <n v="83.82151589242054"/>
        <n v="83.77073170731707"/>
        <n v="83.71776155717761"/>
        <n v="83.6383495145631"/>
        <n v="83.54721549636804"/>
        <n v="83.51932367149759"/>
        <n v="83.3710843373494"/>
        <n v="83.3125"/>
        <n v="83.2757793764988"/>
        <n v="83.23444976076556"/>
        <n v="83.21957040572792"/>
        <n v="83.05"/>
        <n v="82.9667458432304"/>
        <n v="82.77488151658768"/>
        <n v="83.04255319148936"/>
        <n v="83.16509433962264"/>
        <n v="83.2870588235294"/>
        <n v="83.53051643192488"/>
        <n v="83.36065573770492"/>
        <n v="83.32710280373831"/>
        <n v="83.38461538461539"/>
        <n v="83.39767441860465"/>
        <n v="83.25290023201856"/>
        <n v="83.34027777777777"/>
        <n v="83.45034642032333"/>
        <n v="83.63364055299539"/>
        <n v="83.84137931034483"/>
        <n v="83.95642201834862"/>
        <n v="83.86270022883295"/>
        <n v="84.07077625570776"/>
        <n v="84.27334851936219"/>
        <n v="84.12272727272727"/>
        <n v="84.06802721088435"/>
        <n v="84.289592760181"/>
        <n v="84.36794582392777"/>
        <n v="84.35810810810811"/>
        <n v="84.24494382022472"/>
        <n v="84.07847533632287"/>
        <n v="83.8993288590604"/>
        <n v="83.84598214285714"/>
        <n v="83.74387527839643"/>
        <n v="83.68"/>
        <n v="83.65853658536585"/>
        <n v="83.56637168141593"/>
        <n v="83.46799116997792"/>
        <n v="83.33700440528635"/>
        <n v="83.16043956043956"/>
        <n v="83.04385964912281"/>
        <n v="82.91684901531728"/>
        <n v="82.9235807860262"/>
        <n v="83.10893246187364"/>
        <n v="83.00652173913043"/>
        <n v="83.19739696312364"/>
        <n v="83.02164502164503"/>
        <n v="82.8574514038877"/>
        <n v="82.85560344827586"/>
        <n v="82.7505376344086"/>
        <n v="82.6716738197425"/>
        <n v="82.54603854389721"/>
        <n v="82.45726495726495"/>
        <n v="82.47121535181236"/>
        <n v="82.5127659574468"/>
        <n v="82.53715498938429"/>
        <n v="82.39194915254237"/>
        <n v="82.46300211416491"/>
        <n v="82.39451476793249"/>
        <n v="82.48"/>
        <n v="82.32142857142857"/>
        <n v="82.32285115303984"/>
        <n v="82.2970711297071"/>
        <n v="82.16492693110648"/>
        <n v="82.15625"/>
        <n v="82.0"/>
        <n v="81.84647302904564"/>
        <n v="81.68737060041408"/>
        <n v="81.58677685950413"/>
        <n v="81.44123711340207"/>
        <n v="81.30246913580247"/>
        <n v="81.29363449691992"/>
        <n v="81.21926229508196"/>
        <n v="81.1840490797546"/>
        <n v="81.15918367346939"/>
        <n v="81.11201629327903"/>
        <n v="80.95325203252033"/>
        <n v="80.94929006085192"/>
        <n v="80.8157894736842"/>
        <n v="80.69090909090909"/>
        <n v="80.53427419354838"/>
        <n v="80.38832997987927"/>
        <n v="80.34939759036145"/>
        <n v="80.45691382765531"/>
        <n v="80.318"/>
        <n v="80.20958083832335"/>
        <n v="80.26494023904382"/>
        <n v="80.13916500994036"/>
        <n v="80.26388888888889"/>
        <n v="80.15247524752475"/>
        <n v="80.01185770750988"/>
        <n v="79.91321499013807"/>
        <n v="79.84251968503936"/>
        <n v="79.71119842829077"/>
        <n v="79.65098039215687"/>
        <n v="79.57142857142857"/>
        <n v="79.486328125"/>
        <n v="79.35282651072124"/>
        <n v="79.25486381322958"/>
        <n v="79.10485436893204"/>
        <n v="79.05232558139535"/>
        <n v="78.93617021276596"/>
        <n v="78.8108108108108"/>
        <n v="78.71868978805395"/>
        <n v="78.73076923076923"/>
        <n v="78.67946257197697"/>
        <n v="78.57854406130268"/>
        <n v="78.46845124282983"/>
        <n v="78.39503816793894"/>
        <n v="78.36761904761904"/>
        <n v="78.27186311787072"/>
        <n v="78.24288425047439"/>
        <n v="78.26704545454545"/>
        <n v="78.14366729678639"/>
        <n v="78.03396226415094"/>
        <n v="77.91713747645952"/>
        <n v="77.84774436090225"/>
        <n v="77.8048780487805"/>
        <n v="77.71161048689139"/>
        <n v="77.58130841121495"/>
        <n v="77.54477611940298"/>
        <n v="77.45437616387338"/>
        <n v="77.39776951672863"/>
        <n v="77.26716141001856"/>
        <n v="77.20185185185186"/>
        <n v="77.10351201478743"/>
        <n v="77.09225092250922"/>
        <n v="77.03683241252303"/>
        <n v="76.96691176470588"/>
        <n v="76.91559633027524"/>
        <n v="76.85531135531136"/>
        <n v="76.84277879341865"/>
        <n v="76.81204379562044"/>
        <n v="76.83788706739526"/>
        <n v="76.77272727272727"/>
        <n v="76.69872958257713"/>
        <n v="76.65398550724638"/>
        <n v="76.54249547920433"/>
        <n v="76.46570397111914"/>
        <n v="76.5027027027027"/>
        <n v="76.4820143884892"/>
        <n v="76.42728904847397"/>
        <n v="76.31899641577061"/>
        <n v="76.41502683363149"/>
        <n v="76.40178571428571"/>
        <n v="76.43315508021391"/>
        <n v="76.47153024911032"/>
        <n v="76.4404973357016"/>
        <n v="76.37056737588652"/>
        <n v="76.29026548672566"/>
        <n v="76.23321554770318"/>
        <n v="76.14285714285714"/>
        <n v="76.10387323943662"/>
        <n v="76.1634446397188"/>
        <n v="76.11754385964912"/>
        <n v="76.03327495621717"/>
        <n v="75.90384615384616"/>
        <n v="75.83944153577661"/>
        <n v="75.8362369337979"/>
        <n v="75.71652173913043"/>
        <n v="75.61284722222223"/>
        <n v="75.58058925476602"/>
        <n v="75.4878892733564"/>
        <n v="75.4853195164076"/>
        <n v="75.43448275862069"/>
        <n v="75.37005163511188"/>
        <n v="75.28006872852234"/>
        <n v="75.16466552315609"/>
        <n v="75.12157534246575"/>
        <n v="75.07692307692308"/>
        <n v="74.95221843003414"/>
        <n v="74.8381601362862"/>
        <n v="74.76360544217687"/>
        <n v="74.64855687606112"/>
        <n v="74.5864406779661"/>
        <n v="74.5482233502538"/>
        <n v="74.54560810810811"/>
        <n v="74.45362563237774"/>
        <n v="74.35185185185185"/>
        <n v="74.28403361344537"/>
        <n v="74.23154362416108"/>
        <n v="74.16247906197655"/>
        <n v="74.04013377926421"/>
        <n v="73.97328881469114"/>
        <n v="73.91333333333333"/>
        <n v="73.88019966722129"/>
        <n v="73.79401993355482"/>
        <n v="73.77611940298507"/>
        <n v="73.75662251655629"/>
        <n v="73.71735537190082"/>
        <n v="73.62211221122112"/>
        <n v="73.5502471169687"/>
        <n v="73.53947368421052"/>
        <n v="73.48111658456486"/>
        <n v="73.3655737704918"/>
        <n v="73.25531914893617"/>
        <n v="73.19444444444444"/>
        <n v="73.20228384991843"/>
        <n v="73.16775244299674"/>
        <n v="73.1089430894309"/>
        <n v="73.03733766233766"/>
        <n v="72.91896272285251"/>
        <n v="72.97087378640776"/>
        <n v="72.92245557350566"/>
        <n v="72.96129032258065"/>
        <n v="73.085346215781"/>
        <n v="73.10128617363344"/>
        <n v="73.107544141252"/>
        <n v="73.09455128205128"/>
        <n v="73.1072"/>
        <n v="73.09904153354633"/>
        <n v="73.06379585326954"/>
        <n v="72.94904458598727"/>
        <n v="72.83783783783784"/>
        <n v="72.91111111111111"/>
        <n v="72.83676703645008"/>
        <n v="72.84177215189874"/>
        <n v="72.92259083728278"/>
        <n v="72.86119873817034"/>
        <n v="72.76062992125985"/>
        <n v="72.75628930817611"/>
        <n v="72.68759811616954"/>
        <n v="72.74137931034483"/>
        <n v="72.7699530516432"/>
        <n v="72.6828125"/>
        <n v="72.60686427457098"/>
        <n v="72.50155763239876"/>
        <n v="72.44945567651634"/>
        <n v="72.54658385093168"/>
        <n v="72.53333333333333"/>
        <n v="72.55727554179566"/>
        <n v="72.63523956723338"/>
        <n v="72.55401234567901"/>
        <n v="72.47457627118644"/>
        <n v="72.47076923076924"/>
        <n v="72.36251920122888"/>
        <n v="72.34509202453988"/>
        <n v="72.28943338437979"/>
        <n v="72.24464831804282"/>
        <n v="72.18320610687023"/>
        <n v="72.11585365853658"/>
        <n v="72.01826484018265"/>
        <n v="72.04863221884499"/>
        <n v="72.06525037936267"/>
        <n v="72.07727272727273"/>
        <n v="72.00151285930409"/>
        <n v="71.91389728096676"/>
        <n v="71.87028657616892"/>
        <n v="71.80722891566265"/>
        <n v="71.73533834586466"/>
        <n v="71.65615615615616"/>
        <n v="71.5712143928036"/>
        <n v="71.46407185628742"/>
        <n v="71.43497757847534"/>
        <n v="71.33283582089553"/>
        <n v="71.22652757078987"/>
        <n v="71.19642857142857"/>
        <n v="71.15601783060922"/>
        <n v="71.05192878338279"/>
        <n v="71.02814814814815"/>
        <n v="71.02218934911242"/>
        <n v="70.97193500738553"/>
        <n v="71.023598820059"/>
        <n v="70.99116347569955"/>
        <n v="70.95882352941176"/>
        <n v="70.8546255506608"/>
        <n v="70.82844574780059"/>
        <n v="70.7393850658858"/>
        <n v="70.67836257309942"/>
        <n v="70.58102189781022"/>
        <n v="70.52769679300292"/>
        <n v="70.47598253275109"/>
        <n v="70.41424418604652"/>
        <n v="70.35413642960813"/>
        <n v="70.29710144927536"/>
        <n v="70.2069464544139"/>
        <n v="70.16040462427746"/>
        <n v="70.1024531024531"/>
        <n v="70.04899135446686"/>
        <n v="70.02589928057554"/>
        <n v="70.00287356321839"/>
        <n v="69.94404591104734"/>
        <n v="69.84383954154728"/>
        <n v="69.9041487839771"/>
        <n v="69.96571428571428"/>
        <n v="70.02567760342367"/>
        <n v="69.93447293447294"/>
        <n v="69.84495021337126"/>
        <n v="69.76420454545455"/>
        <n v="69.75035460992908"/>
        <n v="69.77195467422096"/>
        <n v="69.81753889674681"/>
        <n v="69.87005649717514"/>
        <n v="69.83074753173484"/>
        <n v="69.87464788732395"/>
        <n v="69.8902953586498"/>
        <n v="69.8932584269663"/>
        <n v="69.83730715287517"/>
        <n v="69.75770308123249"/>
        <n v="69.79860139860139"/>
        <n v="69.87849162011173"/>
        <n v="69.78521617852162"/>
        <n v="69.73119777158774"/>
        <n v="69.82336578581364"/>
        <n v="69.86111111111111"/>
        <n v="69.79056865464632"/>
        <n v="69.70498614958449"/>
        <n v="69.68879668049793"/>
        <n v="69.60635359116021"/>
        <n v="69.54068965517241"/>
        <n v="69.51515151515152"/>
        <n v="69.46767537826685"/>
        <n v="69.38049450549451"/>
        <n v="69.3278463648834"/>
        <n v="69.27123287671233"/>
        <n v="69.20793433652531"/>
        <n v="69.18169398907104"/>
        <n v="69.1050477489768"/>
        <n v="69.15803814713897"/>
        <n v="69.2530612244898"/>
        <n v="69.18070652173913"/>
        <n v="69.24016282225237"/>
        <n v="69.17208672086721"/>
        <n v="69.19621109607577"/>
        <n v="69.11216216216216"/>
        <n v="69.09986504723346"/>
        <n v="69.01482479784367"/>
        <n v="69.12247644683714"/>
        <n v="69.04704301075269"/>
        <n v="68.9744966442953"/>
        <n v="68.91018766756032"/>
        <n v="68.82329317269077"/>
        <n v="68.76470588235294"/>
        <n v="68.74365821094793"/>
        <n v="68.712"/>
        <n v="68.64580559254327"/>
        <n v="68.60505319148936"/>
        <n v="68.52324037184594"/>
        <n v="68.49071618037135"/>
        <n v="68.4066225165563"/>
        <n v="68.32407407407408"/>
        <n v="68.30515191545575"/>
        <n v="68.24274406332454"/>
        <n v="68.15810276679842"/>
        <n v="68.07631578947368"/>
        <n v="68.01445466491458"/>
        <n v="67.97637795275591"/>
        <n v="67.93840104849279"/>
        <n v="67.90706806282722"/>
        <n v="67.89019607843137"/>
        <n v="67.85248041775456"/>
        <n v="67.78096479791395"/>
        <n v="67.72526041666667"/>
        <n v="67.67880364109233"/>
        <n v="67.63766233766233"/>
        <n v="67.5616083009079"/>
        <n v="67.48575129533678"/>
        <n v="67.41914618369987"/>
        <n v="67.36046511627907"/>
        <n v="67.38580645161291"/>
        <n v="67.37628865979381"/>
        <n v="67.32432432432432"/>
        <n v="67.25706940874036"/>
        <n v="67.1976893453145"/>
        <n v="67.16666666666667"/>
        <n v="67.17029449423815"/>
        <n v="67.21099744245524"/>
        <n v="67.2324393358876"/>
        <n v="67.20280612244898"/>
        <n v="67.17324840764331"/>
        <n v="67.23791348600508"/>
        <n v="67.33290978398983"/>
        <n v="67.28807106598985"/>
        <n v="67.33333333333333"/>
        <n v="67.2873417721519"/>
        <n v="67.25031605562579"/>
        <n v="67.33080808080808"/>
        <n v="67.26355611601514"/>
        <n v="67.18010075566751"/>
        <n v="67.13207547169812"/>
        <n v="67.07788944723617"/>
        <n v="67.06273525721456"/>
        <n v="67.01127819548873"/>
        <n v="66.93241551939924"/>
        <n v="66.89625"/>
        <n v="66.8314606741573"/>
        <n v="66.785536159601"/>
        <n v="66.75217932752179"/>
        <n v="66.68781094527363"/>
        <n v="66.73291925465838"/>
        <n v="66.79156327543424"/>
        <n v="66.74473358116481"/>
        <n v="66.6980198019802"/>
        <n v="66.63906056860321"/>
        <n v="66.6679012345679"/>
        <n v="66.68187422934649"/>
        <n v="66.6256157635468"/>
        <n v="66.61377613776138"/>
        <n v="66.67444717444718"/>
        <n v="66.59877300613496"/>
        <n v="66.57352941176471"/>
        <n v="66.50917992656059"/>
        <n v="66.47921760391198"/>
        <n v="66.45177045177046"/>
        <n v="66.44634146341464"/>
        <n v="66.40925700365408"/>
        <n v="66.32968369829683"/>
        <n v="66.31713244228433"/>
        <n v="66.30218446601941"/>
        <n v="66.24848484848485"/>
        <n v="66.19007263922518"/>
        <n v="66.13180169286578"/>
        <n v="66.1268115942029"/>
        <n v="66.0615199034982"/>
        <n v="66.04457831325301"/>
        <n v="66.08182912154031"/>
        <n v="66.03365384615384"/>
        <n v="65.96638655462185"/>
        <n v="65.89568345323741"/>
        <n v="65.94251497005988"/>
        <n v="65.96650717703349"/>
        <n v="65.90800477897253"/>
        <n v="65.95584725536993"/>
        <n v="65.89988081048868"/>
        <n v="65.92619047619047"/>
        <n v="65.86563614744352"/>
        <n v="65.86223277909738"/>
        <n v="65.86120996441281"/>
        <n v="65.80924170616113"/>
        <n v="65.73846153846154"/>
        <n v="65.73758865248227"/>
        <n v="65.72963400236128"/>
        <n v="65.71580188679245"/>
        <n v="65.68197879858657"/>
        <n v="65.63058823529411"/>
        <n v="65.58519388954171"/>
        <n v="65.56455399061034"/>
        <n v="65.5345838218054"/>
        <n v="65.5304449648712"/>
        <n v="65.46783625730994"/>
        <n v="65.40771028037383"/>
        <n v="65.33372228704783"/>
        <n v="65.32284382284382"/>
        <n v="65.35157159487777"/>
        <n v="65.32441860465116"/>
        <n v="65.26016260162602"/>
        <n v="65.2784222737819"/>
        <n v="65.28968713789108"/>
        <n v="65.21875"/>
        <n v="65.28092485549134"/>
        <n v="65.25981524249423"/>
        <n v="65.21799307958477"/>
        <n v="65.27995391705069"/>
        <n v="65.25431530494822"/>
        <n v="65.183908045977"/>
        <n v="65.13203214695751"/>
        <n v="65.18922018348624"/>
        <n v="65.21764032073311"/>
        <n v="65.32608695652173"/>
        <n v="65.30971428571429"/>
        <n v="65.25913242009132"/>
        <n v="65.25655644241733"/>
        <n v="65.20387243735763"/>
        <n v="65.13879408418657"/>
        <n v="65.19090909090909"/>
        <n v="65.28376844494892"/>
        <n v="65.2437641723356"/>
        <n v="65.33635334088335"/>
        <n v="65.31900452488688"/>
        <n v="65.25762711864407"/>
        <n v="65.18848758465012"/>
        <n v="65.17925591882751"/>
        <n v="65.11936936936937"/>
        <n v="65.1124859392576"/>
        <n v="65.08876404494382"/>
        <n v="65.0662177328844"/>
        <n v="65.07286995515695"/>
        <n v="65.02575587905935"/>
        <n v="64.96085011185683"/>
        <n v="64.96648044692738"/>
        <n v="64.92522321428571"/>
        <n v="64.90858416945373"/>
        <n v="64.88307349665924"/>
        <n v="64.83426028921023"/>
        <n v="64.77222222222223"/>
        <n v="64.73362930077691"/>
        <n v="64.66186252771618"/>
        <n v="64.59246954595791"/>
        <n v="64.53871681415929"/>
        <n v="64.48618784530387"/>
        <n v="64.45253863134658"/>
        <n v="64.39801543550165"/>
        <n v="64.33810572687224"/>
        <n v="64.27062706270627"/>
        <n v="64.22967032967033"/>
        <n v="64.16794731064763"/>
        <n v="64.11951754385964"/>
        <n v="64.10733844468784"/>
        <n v="64.05908096280088"/>
        <n v="64.02513661202185"/>
        <n v="63.9792576419214"/>
        <n v="63.9432933478735"/>
        <n v="63.87799564270153"/>
        <n v="63.843307943416754"/>
        <n v="63.869565217391305"/>
        <n v="63.843648208469055"/>
        <n v="63.78199566160521"/>
        <n v="63.77681473456121"/>
        <n v="63.72943722943723"/>
        <n v="63.66594594594594"/>
        <n v="63.672786177105834"/>
        <n v="63.63646170442287"/>
        <n v="63.63793103448276"/>
        <n v="63.63293864370291"/>
        <n v="63.626881720430106"/>
        <n v="63.61224489795919"/>
        <n v="63.62660944206009"/>
        <n v="63.62915326902465"/>
        <n v="63.62312633832976"/>
        <n v="63.579679144385025"/>
        <n v="63.56303418803419"/>
        <n v="63.49519743863394"/>
        <n v="63.46695095948827"/>
        <n v="63.4408945686901"/>
        <n v="63.41702127659575"/>
        <n v="63.35812964930925"/>
        <n v="63.30148619957537"/>
        <n v="63.28525980911983"/>
        <n v="63.27542372881356"/>
        <n v="63.25925925925926"/>
        <n v="63.194503171247355"/>
        <n v="63.15417106652587"/>
        <n v="63.106540084388186"/>
        <n v="63.054794520547944"/>
        <n v="63.02947368421053"/>
        <n v="62.99894847528917"/>
        <n v="62.95378151260504"/>
        <n v="62.93389296956978"/>
        <n v="62.87316561844864"/>
        <n v="62.843979057591625"/>
        <n v="62.78242677824268"/>
        <n v="62.72204806687565"/>
        <n v="62.68893528183716"/>
        <n v="62.63295099061522"/>
        <n v="62.584375"/>
        <n v="62.51925078043705"/>
        <n v="62.46153846153846"/>
        <n v="62.401869158878505"/>
        <n v="62.3402489626556"/>
        <n v="62.29740932642487"/>
        <n v="62.24223602484472"/>
        <n v="62.18304033092037"/>
        <n v="62.127066115702476"/>
        <n v="62.09184726522188"/>
        <n v="62.05979381443299"/>
        <n v="61.998970133882594"/>
        <n v="61.95987654320987"/>
        <n v="61.91983556012333"/>
        <n v="61.87679671457906"/>
        <n v="61.84"/>
        <n v="61.799180327868854"/>
        <n v="61.75127942681679"/>
        <n v="61.739263803680984"/>
        <n v="61.70480081716037"/>
        <n v="61.68571428571428"/>
        <n v="61.63302752293578"/>
        <n v="61.61303462321792"/>
        <n v="61.56663275686673"/>
        <n v="61.55792682926829"/>
        <n v="61.511675126903555"/>
        <n v="61.476673427991884"/>
        <n v="61.43566362715299"/>
        <n v="61.385627530364374"/>
        <n v="61.32861476238625"/>
        <n v="61.3020202020202"/>
        <n v="61.267406659939454"/>
        <n v="61.24495967741935"/>
        <n v="61.22155085599194"/>
        <n v="61.17102615694165"/>
        <n v="61.13869346733669"/>
        <n v="61.105421686746986"/>
        <n v="61.0641925777332"/>
        <n v="61.02004008016032"/>
        <n v="60.972972972972975"/>
        <n v="60.925"/>
        <n v="60.88811188811189"/>
        <n v="60.84530938123753"/>
        <n v="60.786640079760716"/>
        <n v="60.74203187250996"/>
        <n v="60.69452736318408"/>
        <n v="60.65109343936382"/>
        <n v="60.61271102284012"/>
        <n v="60.56150793650794"/>
        <n v="60.50842418235877"/>
        <n v="60.45049504950495"/>
        <n v="60.40158259149357"/>
        <n v="60.359683794466406"/>
        <n v="60.3208292201382"/>
        <n v="60.273175542406314"/>
        <n v="60.238423645320196"/>
        <n v="60.19094488188976"/>
        <n v="60.14257620452311"/>
        <n v="60.086444007858546"/>
        <n v="60.030421982335625"/>
        <n v="59.98529411764706"/>
        <n v="59.94613124387855"/>
        <n v="59.94227005870842"/>
        <n v="59.96774193548387"/>
        <n v="59.9169921875"/>
        <n v="59.96292682926829"/>
        <n v="59.93762183235867"/>
        <n v="59.94255111976631"/>
        <n v="59.963035019455255"/>
        <n v="59.93683187560739"/>
        <n v="59.97378640776699"/>
        <n v="60.008729388942776"/>
        <n v="60.03488372093023"/>
        <n v="60.0135527589545"/>
        <n v="60.02804642166344"/>
        <n v="60.005797101449275"/>
        <n v="59.995173745173744"/>
        <n v="59.99228543876567"/>
        <n v="59.96435452793834"/>
        <n v="59.973051010587106"/>
        <n v="59.988461538461536"/>
        <n v="59.96061479346782"/>
        <n v="59.9337811900192"/>
        <n v="59.90891658676894"/>
        <n v="59.901340996168585"/>
        <n v="59.84688995215311"/>
        <n v="59.79445506692161"/>
        <n v="59.74880611270296"/>
        <n v="59.69274809160305"/>
        <n v="59.6463298379409"/>
        <n v="59.59619047619048"/>
        <n v="59.54709800190295"/>
        <n v="59.500950570342205"/>
        <n v="59.458689458689456"/>
        <n v="59.41650853889943"/>
        <n v="59.376303317535545"/>
        <n v="59.333333333333336"/>
        <n v="59.2876064333018"/>
        <n v="59.23818525519849"/>
        <n v="59.19735599622285"/>
        <n v="59.16509433962264"/>
        <n v="59.11027332704995"/>
        <n v="59.068738229755176"/>
        <n v="59.03198494825964"/>
        <n v="58.98966165413534"/>
        <n v="58.93427230046948"/>
        <n v="58.930581613508444"/>
        <n v="58.8912839737582"/>
        <n v="58.8876404494382"/>
        <n v="58.84565014031806"/>
        <n v="58.79252336448598"/>
        <n v="58.751633986928105"/>
        <n v="58.69776119402985"/>
        <n v="58.666356011183595"/>
        <n v="58.63128491620112"/>
        <n v="58.609302325581396"/>
        <n v="58.569702602230485"/>
        <n v="58.532033426183844"/>
        <n v="58.50278293135436"/>
        <n v="58.4772937905468"/>
        <n v="58.42962962962963"/>
        <n v="58.38112858464385"/>
        <n v="58.38170055452865"/>
        <n v="58.35826408125577"/>
        <n v="58.31918819188192"/>
        <n v="58.31336405529954"/>
        <n v="58.26887661141805"/>
        <n v="58.25298988040478"/>
        <n v="58.24080882352941"/>
        <n v="58.19834710743802"/>
        <n v="58.17798165137615"/>
        <n v="58.13198900091659"/>
        <n v="58.133699633699635"/>
        <n v="58.137236962488565"/>
        <n v="58.14168190127971"/>
        <n v="58.153424657534245"/>
        <n v="58.2007299270073"/>
        <n v="58.20054694621695"/>
        <n v="58.18032786885246"/>
        <n v="58.167424931756145"/>
        <n v="58.155454545454546"/>
        <n v="58.166212534059945"/>
        <n v="58.2005444646098"/>
        <n v="58.16500453309157"/>
        <n v="58.1911231884058"/>
        <n v="58.157466063348416"/>
        <n v="58.19439421338156"/>
        <n v="58.18518518518518"/>
        <n v="58.17689530685921"/>
        <n v="58.183047790802526"/>
        <n v="58.18018018018018"/>
        <n v="58.18361836183618"/>
        <n v="58.148381294964025"/>
        <n v="58.18867924528302"/>
        <n v="58.255834829443444"/>
        <n v="58.25112107623318"/>
        <n v="58.23297491039426"/>
        <n v="58.184422560429724"/>
        <n v="58.23881932021467"/>
        <n v="58.33512064343164"/>
        <n v="58.410714285714285"/>
        <n v="58.36485280999108"/>
        <n v="58.47147950089126"/>
        <n v="58.4959928762244"/>
        <n v="58.57562277580071"/>
        <n v="58.52622222222222"/>
        <n v="58.48579040852575"/>
        <n v="58.547471162377995"/>
        <n v="58.59663120567376"/>
        <n v="58.65367581930912"/>
        <n v="58.683185840707964"/>
        <n v="58.651635720601234"/>
        <n v="58.658127208480565"/>
        <n v="58.61606354810238"/>
        <n v="58.71516754850088"/>
        <n v="58.70308370044053"/>
        <n v="58.66021126760563"/>
        <n v="58.64819700967458"/>
        <n v="58.654657293497365"/>
        <n v="58.78314310798947"/>
        <n v="58.88333333333333"/>
        <n v="58.84049079754601"/>
        <n v="58.83274956217163"/>
        <n v="58.800524934383205"/>
        <n v="58.78059440559441"/>
        <n v="58.74323144104803"/>
        <n v="58.7521815008726"/>
        <n v="58.71665213600698"/>
        <n v="58.70644599303136"/>
        <n v="58.67362924281984"/>
        <n v="58.6295652173913"/>
        <n v="58.62814943527368"/>
        <n v="58.588541666666664"/>
        <n v="58.61405030355594"/>
        <n v="58.6265164644714"/>
        <n v="58.666666666666664"/>
        <n v="58.6522491349481"/>
        <n v="58.60328435609335"/>
        <n v="58.623488773747845"/>
        <n v="58.690250215703195"/>
        <n v="58.640517241379314"/>
        <n v="58.7114556416882"/>
        <n v="58.674698795180724"/>
        <n v="58.693035253654344"/>
        <n v="58.68298969072165"/>
        <n v="58.67725321888412"/>
        <n v="58.63293310463122"/>
        <n v="58.59125964010283"/>
        <n v="58.653253424657535"/>
        <n v="58.67151411462789"/>
        <n v="58.62991452991453"/>
        <n v="58.672929120409904"/>
        <n v="58.69368600682594"/>
        <n v="58.71355498721228"/>
        <n v="58.7793867120954"/>
        <n v="58.75063829787234"/>
        <n v="58.71938775510204"/>
        <n v="58.783347493627865"/>
        <n v="58.82258064516129"/>
        <n v="58.81000848176421"/>
        <n v="58.85762711864407"/>
        <n v="58.87722269263336"/>
        <n v="58.92216582064298"/>
        <n v="58.98224852071006"/>
        <n v="59.08108108108108"/>
        <n v="59.16118143459916"/>
        <n v="59.15177065767285"/>
        <n v="59.244313395113736"/>
        <n v="59.303030303030305"/>
        <n v="59.26829268292683"/>
        <n v="59.22857142857143"/>
        <n v="59.20486985726281"/>
        <n v="59.261744966442954"/>
        <n v="59.311818943839064"/>
        <n v="59.370184254606365"/>
        <n v="59.419246861924684"/>
        <n v="59.430602006688964"/>
        <n v="59.38930659983291"/>
        <n v="59.38313856427379"/>
        <n v="59.43786488740617"/>
        <n v="59.446666666666665"/>
      </sharedItems>
    </cacheField>
    <cacheField name="Tracking Signal" numFmtId="4">
      <sharedItems containsSemiMixedTypes="0" containsString="0" containsNumber="1">
        <n v="-1.0"/>
        <n v="-2.0"/>
        <n v="-1.379746835443038"/>
        <n v="-2.9012875536480687"/>
        <n v="-1.913907284768212"/>
        <n v="-1.7813664596273293"/>
        <n v="0.5155350978135789"/>
        <n v="-0.15141955835962145"/>
        <n v="-2.0016353229762878"/>
        <n v="-3.1186685962373373"/>
        <n v="0.4283727399165508"/>
        <n v="-1.441696113074205"/>
        <n v="-0.4365395560614684"/>
        <n v="-0.8590381426202321"/>
        <n v="-1.4865537848605577"/>
        <n v="-1.1750972762645915"/>
        <n v="-1.2487607030193781"/>
        <n v="-1.5957446808510638"/>
        <n v="-1.6320907617504052"/>
        <n v="-3.2950758978156234"/>
        <n v="-1.2365853658536585"/>
        <n v="-2.2781281115167604"/>
        <n v="-0.5367909238249595"/>
        <n v="-0.2612872238232469"/>
        <n v="0.7531055900621118"/>
        <n v="0.41408882082695253"/>
        <n v="0.04128440366972477"/>
        <n v="0.8643514395963194"/>
        <n v="0.09437869822485208"/>
        <n v="1.2297181895815543"/>
        <n v="-0.5801675977653631"/>
        <n v="-1.3772813947153364"/>
        <n v="-0.16991869918699187"/>
        <n v="-0.6629273504273504"/>
        <n v="-0.6603773584905661"/>
        <n v="0.04623683534549191"/>
        <n v="-0.9175851703406814"/>
        <n v="-1.0626716604244695"/>
        <n v="-1.079388201019665"/>
        <n v="-1.738715070456174"/>
        <n v="-0.10743211052882325"/>
        <n v="-0.5738515901060071"/>
        <n v="0.040480112967757116"/>
        <n v="-0.2264327485380117"/>
        <n v="-0.3861317254174397"/>
        <n v="-0.8760899495181276"/>
        <n v="-0.9509892086330934"/>
        <n v="-1.0556552962298025"/>
        <n v="-1.284965034965035"/>
        <n v="-1.670281995661605"/>
        <n v="0.6012861736334405"/>
        <n v="0.6240891555936563"/>
        <n v="-0.2036720751494449"/>
        <n v="-1.8227376268378546"/>
        <n v="-1.3769432667070463"/>
        <n v="-0.8283030181890866"/>
        <n v="-1.5084646818447167"/>
        <n v="-0.9385474860335196"/>
        <n v="-0.11343972313016727"/>
        <n v="-0.9442548350398179"/>
        <n v="-1.2129715666233043"/>
        <n v="-2.112087912087912"/>
        <n v="-1.1442186657076066"/>
        <n v="-1.1155435759209344"/>
        <n v="0.8643617021276595"/>
        <n v="-0.6857142857142857"/>
        <n v="-1.285835597826087"/>
        <n v="-3.2514427040395715"/>
        <n v="-0.5865620402157921"/>
        <n v="-1.7114363841080906"/>
        <n v="-1.4432713520327765"/>
        <n v="-1.9931185486393495"/>
        <n v="-1.1019716574245224"/>
        <n v="-1.9933039111246387"/>
        <n v="-0.3747728649303453"/>
        <n v="-1.916629580180982"/>
        <n v="-1.1699050401753104"/>
        <n v="-2.8108108108108105"/>
        <n v="-0.32626032469381944"/>
        <n v="-0.9718886848424919"/>
        <n v="-0.36450569540149064"/>
        <n v="-0.632183908045977"/>
        <n v="0.26673187089562667"/>
        <n v="-0.7191383595691798"/>
        <n v="1.1348773841961852"/>
        <n v="1.11262426801035"/>
        <n v="0.8680059323176487"/>
        <n v="2.751451187335092"/>
        <n v="1.0213875847678664"/>
        <n v="1.0328638497652582"/>
        <n v="1.2869632296220108"/>
        <n v="3.073238371360141"/>
        <n v="1.6127833519137866"/>
        <n v="3.4252398882545854"/>
        <n v="1.1287806048967834"/>
        <n v="1.5374686267479383"/>
        <n v="-0.7933854907539117"/>
        <n v="-1.4311624072547404"/>
        <n v="-1.288852725793328"/>
        <n v="-1.86084142394822"/>
        <n v="-0.8679958748710898"/>
        <n v="-1.0962725817516579"/>
        <n v="-0.5971353870637717"/>
        <n v="-1.0126811594202898"/>
        <n v="-0.48517975881888875"/>
        <n v="-1.303958845895773"/>
        <n v="-0.9370358053430884"/>
        <n v="-1.3242019220148016"/>
        <n v="1.5313657155303857"/>
        <n v="1.0375108412836078"/>
        <n v="-0.04811443433029909"/>
        <n v="2.8378378378378377"/>
        <n v="0.7112882920688208"/>
        <n v="3.148136741607638"/>
        <n v="2.8326824872334035"/>
        <n v="5.37184256902291"/>
        <n v="0.6379746835443039"/>
        <n v="1.0987390882638215"/>
        <n v="1.1431316042267052"/>
        <n v="2.9295987887963664"/>
        <n v="1.7490441107898909"/>
        <n v="2.2437302619357236"/>
        <n v="1.2328275862068965"/>
        <n v="2.339196208876333"/>
        <n v="-0.056932045910001824"/>
        <n v="1.4515345153451535"/>
        <n v="1.8472727272727274"/>
        <n v="2.3743485557812916"/>
        <n v="0.9164181722504824"/>
        <n v="2.1790863296856"/>
        <n v="0.056862574876291344"/>
        <n v="-0.4565894154271878"/>
        <n v="-1.70309031927608"/>
        <n v="-1.634843443392202"/>
        <n v="-1.7956056907147067"/>
        <n v="-3.2283858070964517"/>
        <n v="-1.590269202272166"/>
        <n v="-3.506291095056417"/>
        <n v="-1.340943805772168"/>
        <n v="-3.5445842234353986"/>
        <n v="-0.3671875"/>
        <n v="-2.375136144390851"/>
        <n v="-0.34404346138921227"/>
        <n v="-1.5295566502463054"/>
        <n v="0.42287029930928627"/>
        <n v="0.0111731843575419"/>
        <n v="-2.0958811104405553"/>
        <n v="-3.86077364537527"/>
        <n v="-0.35452449996282254"/>
        <n v="-2.2790663534938345"/>
        <n v="-0.2986594388689473"/>
        <n v="-0.9975207816829518"/>
        <n v="-1.7753513513513512"/>
        <n v="-1.951331893448524"/>
        <n v="-1.895889631631347"/>
        <n v="-3.9090334807327856"/>
        <n v="-2.1091337165016273"/>
        <n v="-3.1626083367725957"/>
        <n v="-1.1724702990577633"/>
        <n v="-1.8493336959477835"/>
        <n v="-2.8177688710754842"/>
        <n v="-3.5022949511075634"/>
        <n v="0.16248006379585325"/>
        <n v="-2.360793038016096"/>
        <n v="-0.570226917057903"/>
        <n v="-1.3253277943658315"/>
        <n v="-0.9377783515135868"/>
        <n v="-1.5343452534087985"/>
        <n v="-0.9618852721110188"/>
        <n v="-0.23815588385124808"/>
        <n v="-1.8632613214083267"/>
        <n v="-3.896440129449838"/>
        <n v="-0.021530802738021156"/>
        <n v="-1.2258064516129032"/>
        <n v="-2.5890410958904106"/>
        <n v="-4.110809342748507"/>
        <n v="0.02136262144710639"/>
        <n v="0.6742424242424242"/>
        <n v="0.4080383923215357"/>
        <n v="-1.1985731272294888"/>
        <n v="0.08604706441644877"/>
        <n v="-0.7964518036664695"/>
        <n v="0.4103139013452915"/>
        <n v="-0.6799225761041704"/>
        <n v="0.13012132934763496"/>
        <n v="-0.6297355671005779"/>
        <n v="-0.5224983992083357"/>
        <n v="-1.5239418678709975"/>
        <n v="-1.455099109451307"/>
        <n v="-1.034739738592066"/>
        <n v="0.643832485859567"/>
        <n v="0.12033502364537633"/>
        <n v="0.2087080250426864"/>
        <n v="1.164637254346718"/>
        <n v="1.0981584727149856"/>
        <n v="1.6073695444587992"/>
        <n v="0.606730876917908"/>
        <n v="1.9273556569140062"/>
        <n v="-0.14379411928186314"/>
        <n v="0.8737488248631311"/>
        <n v="-0.16659299370096142"/>
        <n v="0.6780015406624849"/>
        <n v="1.033503038265725"/>
        <n v="0.8367514356029533"/>
        <n v="2.294776119402985"/>
        <n v="2.48206181110871"/>
        <n v="1.5650705131642448"/>
        <n v="3.415634798320667"/>
        <n v="0.7084370531221864"/>
        <n v="0.9554039041421996"/>
        <n v="0.9334808026544478"/>
        <n v="1.7131762606916092"/>
        <n v="2.0040024950618567"/>
        <n v="4.313229471952286"/>
        <n v="1.754296496506706"/>
        <n v="2.4159845442066192"/>
        <n v="-0.03309272061813746"/>
        <n v="-0.8500962220196495"/>
        <n v="-2.2393984962406015"/>
        <n v="-1.8937043339005104"/>
        <n v="-0.3643767174619036"/>
        <n v="-2.3523469994058233"/>
        <n v="-1.6875675675675674"/>
        <n v="-2.1203590171170728"/>
        <n v="-0.24251629023565724"/>
        <n v="0.2541063746578021"/>
        <n v="-1.2141398424584264"/>
        <n v="-2.578637022716288"/>
        <n v="0.5300414697656476"/>
        <n v="0.1550163681879453"/>
        <n v="3.0182448805055353"/>
        <n v="4.297108297108298"/>
        <n v="2.170434864017226"/>
        <n v="2.0802919708029197"/>
        <n v="2.5558846670060626"/>
        <n v="4.633394495412844"/>
        <n v="0.7909751748731313"/>
        <n v="3.1882693700217235"/>
        <n v="-0.47497741644083113"/>
        <n v="1.398225329389621"/>
        <n v="0.09716435962908213"/>
        <n v="0.3465497180703481"/>
        <n v="-1.2549194194639837"/>
        <n v="-2.3038255241810366"/>
        <n v="-1.2211097388849683"/>
        <n v="-1.603382216937508"/>
        <n v="0.5751757469244289"/>
        <n v="0.6644413211524947"/>
        <n v="-0.7740706685931958"/>
        <n v="-1.8744551002615517"/>
        <n v="-0.9483215355886568"/>
        <n v="-0.5244082198907483"/>
        <n v="-0.1644209522984273"/>
        <n v="0.6143745680718729"/>
        <n v="0.8343378680902359"/>
        <n v="1.8115538019470772"/>
        <n v="1.8167184771962697"/>
        <n v="1.6800306435137895"/>
        <n v="1.4360265797604437"/>
        <n v="2.8780672587230103"/>
        <n v="-0.13175718312229187"/>
        <n v="0.2531294631605478"/>
        <n v="0.540222175644519"/>
        <n v="2.3411465922811106"/>
        <n v="0.1543710731078101"/>
        <n v="1.1906992166452521"/>
        <n v="-0.3536570222277412"/>
        <n v="0.03323137968091262"/>
        <n v="0.2887696118909992"/>
        <n v="0.7123423200593618"/>
        <n v="0.6908717105263157"/>
        <n v="0.18978042273753334"/>
        <n v="-0.3692515779981966"/>
        <n v="-0.717835359613574"/>
        <n v="-0.28114009977917725"/>
        <n v="0.8654503990877993"/>
        <n v="-1.1793925631564008"/>
        <n v="-2.4351511726476405"/>
        <n v="-1.378414203084833"/>
        <n v="-2.9081612271801225"/>
        <n v="-1.4739519173455196"/>
        <n v="-2.0576595154062733"/>
        <n v="-2.2158089392508655"/>
        <n v="-2.4341262040495377"/>
        <n v="0.5256651754179421"/>
        <n v="-1.5709388391118035"/>
        <n v="0.34617330064978014"/>
        <n v="-1.2591990713871155"/>
        <n v="-0.2234680069592113"/>
        <n v="0.4027622391111454"/>
        <n v="-0.7502308757888256"/>
        <n v="-1.25625168055929"/>
        <n v="1.7119453142900785"/>
        <n v="0.7609912070343725"/>
        <n v="0.14590625475574495"/>
        <n v="-0.5168735527464601"/>
        <n v="-0.4278078920435162"/>
        <n v="1.2020658976098921"/>
        <n v="0.61867499341635"/>
        <n v="0.699563712953212"/>
        <n v="0.46344211198317625"/>
        <n v="0.939822278879682"/>
        <n v="0.9061343501177526"/>
        <n v="0.806576980568012"/>
        <n v="0.29605017546479506"/>
        <n v="1.0143394539833885"/>
        <n v="1.456648255921711"/>
        <n v="1.5522697795071336"/>
        <n v="-0.05724342349018155"/>
        <n v="-0.10335630140031118"/>
        <n v="0.16121149289099526"/>
        <n v="1.3235456859345605"/>
        <n v="0.47267034990791895"/>
        <n v="1.6705804652528071"/>
        <n v="1.208925764830586"/>
        <n v="2.4505042414533804"/>
        <n v="0.6564816160441796"/>
        <n v="1.3488254060324825"/>
        <n v="-0.08093218803232938"/>
        <n v="-1.0061074771421343"/>
        <n v="0.6252119026149685"/>
        <n v="1.2172379032258065"/>
        <n v="0.5340378118036087"/>
        <n v="-0.5570998710416966"/>
        <n v="-0.3605038107846996"/>
        <n v="-1.0012141989857868"/>
        <n v="-0.5246550433201412"/>
        <n v="-0.7829277851010011"/>
        <n v="-1.3424283281294351"/>
        <n v="-2.7630184413198613"/>
        <n v="-0.4904049668406942"/>
        <n v="-2.248359591564616"/>
        <n v="-0.163504366429348"/>
        <n v="0.10534062237174097"/>
        <n v="-1.5424863959815822"/>
        <n v="-1.3000104569695703"/>
        <n v="0.44578271312702333"/>
        <n v="0.8109743375756311"/>
        <n v="-1.7123581511209522"/>
        <n v="-1.8928731975517825"/>
        <n v="-1.3506578494179238"/>
        <n v="-1.378082380493181"/>
        <n v="0.0826705230175946"/>
        <n v="-0.15387262154629597"/>
        <n v="-0.7816952178241614"/>
        <n v="-1.800171144959781"/>
        <n v="-0.4507571872970294"/>
        <n v="-1.6360848976254556"/>
        <n v="1.1376956772725728"/>
        <n v="0.5576649264356905"/>
        <n v="1.1504308160162189"/>
        <n v="3.262981124471015"/>
        <n v="-0.6390639667426579"/>
        <n v="-0.8776467435004021"/>
        <n v="-1.1263066493003373"/>
        <n v="0.5325266761958581"/>
        <n v="0.10677256413664761"/>
        <n v="-0.6173846715086393"/>
        <n v="-0.6536347987288136"/>
        <n v="0.8426188435419002"/>
        <n v="0.8192941486037563"/>
        <n v="1.5447741596638656"/>
        <n v="-0.9626125388770667"/>
        <n v="-2.185330200991908"/>
        <n v="0.35693330725601413"/>
        <n v="0.20273044214916425"/>
        <n v="-1.5953933495539336"/>
        <n v="-1.5757615077691633"/>
        <n v="-1.8816201387768277"/>
        <n v="-0.15451333119177643"/>
        <n v="0.7255618607931775"/>
        <n v="1.51146943084749"/>
        <n v="-1.4975623745339834"/>
        <n v="-2.8615785129214553"/>
        <n v="1.7301858172165339"/>
        <n v="0.7109990545225339"/>
        <n v="-1.2906498319670843"/>
        <n v="-2.108687476494923"/>
        <n v="-1.2430887451972636"/>
        <n v="-1.8252136485559227"/>
        <n v="-1.3970789310130516"/>
        <n v="-0.9128829024549208"/>
        <n v="-0.35626802269697067"/>
        <n v="1.658184510039789"/>
        <n v="-1.0776021161417322"/>
        <n v="-2.413609195402299"/>
        <n v="-0.4620683321087436"/>
        <n v="0.14232003668042184"/>
        <n v="-0.3089093185913686"/>
        <n v="-2.381516587677725"/>
        <n v="-1.6324196768923578"/>
        <n v="-3.4234776847557673"/>
        <n v="-1.7321080562468143"/>
        <n v="-2.3354089330619088"/>
        <n v="-1.847829325705432"/>
        <n v="-3.291770573566085"/>
        <n v="-0.176711475117956"/>
        <n v="0.22417217561438355"/>
        <n v="-1.1910799787196311"/>
        <n v="-1.7120255032764626"/>
        <n v="-0.6617551718040903"/>
        <n v="-0.4143719628920631"/>
        <n v="-1.0889652539137076"/>
        <n v="-0.9013886034700408"/>
        <n v="0.6054698950577475"/>
        <n v="0.9394294417433074"/>
        <n v="0.488166632536641"/>
        <n v="-0.3811303129378795"/>
        <n v="0.3221130006125485"/>
        <n v="-0.4297443661561754"/>
        <n v="-0.7405835852127413"/>
        <n v="-1.3510548768101223"/>
        <n v="-0.5505868714679032"/>
        <n v="0.3113052028805275"/>
        <n v="-0.26388045897280266"/>
        <n v="-0.9722430607651913"/>
        <n v="0.8165639578413868"/>
        <n v="0.024028512301678545"/>
        <n v="-0.9252631277065588"/>
        <n v="-0.7826610475617098"/>
        <n v="-0.5785450485270119"/>
        <n v="-0.5557241418797056"/>
        <n v="-2.3602357161158083"/>
        <n v="-3.980035165333787"/>
        <n v="-1.6209000762776506"/>
        <n v="-3.854878597122302"/>
        <n v="-0.1319567354965585"/>
        <n v="-0.9600717810677434"/>
        <n v="-1.2952029520295203"/>
        <n v="-2.362176180251527"/>
        <n v="-0.2522434646898166"/>
        <n v="-1.7038580118323474"/>
        <n v="-1.5697957602258261"/>
        <n v="-3.5153318456070752"/>
        <n v="-2.0753475363987826"/>
        <n v="-3.6685698675044396"/>
        <n v="-0.5127428509059158"/>
        <n v="-2.593053254759254"/>
        <n v="-2.0528435506541247"/>
        <n v="-1.8425460636515913"/>
        <n v="-0.7137077196957436"/>
        <n v="-2.871054326819841"/>
        <n v="-1.4104882943143813"/>
        <n v="-2.358990788946736"/>
        <n v="-0.40358505161514047"/>
        <n v="-0.5233206218832502"/>
        <n v="-0.04767618590512759"/>
        <n v="0.6678912759896707"/>
        <n v="0.45376452753916124"/>
        <n v="1.1113766730401529"/>
        <n v="0.8845481049562682"/>
        <n v="0.38292915387059195"/>
        <n v="0.46724498161910555"/>
        <n v="0.7559666975023126"/>
        <n v="0.036074845393519746"/>
        <n v="-0.32512939685222353"/>
        <n v="-0.30150687462064235"/>
        <n v="-1.3385818478632927"/>
        <n v="-2.021443363829397"/>
        <n v="-1.5902364926799886"/>
        <n v="-2.055352766334672"/>
        <n v="-2.0837939305454163"/>
        <n v="-0.0844824440215833"/>
        <n v="-1.0741578878917935"/>
        <n v="0.4108734634475948"/>
        <n v="-0.14515249837767683"/>
        <n v="-0.2907468416820151"/>
        <n v="0.20616740088105728"/>
        <n v="1.079164404457199"/>
        <n v="-0.15755137825223692"/>
        <n v="1.1388810289389066"/>
        <n v="1.310807683406619"/>
        <n v="-1.4066914498141263"/>
        <n v="-2.0146972218665984"/>
        <n v="1.491270611057226"/>
        <n v="1.409110629067245"/>
        <n v="1.0082255271467861"/>
        <n v="1.8591184096802076"/>
        <n v="0.2312422186650405"/>
        <n v="-0.7181437809052872"/>
        <n v="-0.08536585365853659"/>
        <n v="0.012217997465145755"/>
        <n v="0.06120897224686351"/>
        <n v="0.4657617504051864"/>
        <n v="-0.13506671054963415"/>
        <n v="-0.30749373623870624"/>
        <n v="0.9471836322303612"/>
        <n v="0.39399520625709605"/>
        <n v="0.7883321998035215"/>
        <n v="-0.0616073224703279"/>
        <n v="-0.7150605132325616"/>
        <n v="-0.7535213035727736"/>
        <n v="0.975919615114764"/>
        <n v="1.163139042657115"/>
        <n v="-0.23546642631816134"/>
        <n v="-0.19867317561647266"/>
        <n v="-0.09951693239556479"/>
        <n v="-0.8587494376968061"/>
        <n v="1.6654876955265516"/>
        <n v="1.8053238377449639"/>
        <n v="-0.32415080253826056"/>
        <n v="1.0216166579802943"/>
        <n v="0.2121309848672786"/>
        <n v="1.9934244679010211"/>
        <n v="0.29942930553153646"/>
        <n v="0.18747221261670702"/>
        <n v="-0.3754072465198933"/>
        <n v="-0.9268244575936885"/>
        <n v="-0.1630887536046139"/>
        <n v="0.4519718379203387"/>
        <n v="0.4901256732495512"/>
        <n v="0.037742339730201246"/>
        <n v="0.13862140119878158"/>
        <n v="-0.2271153987775241"/>
        <n v="-0.02528289845111564"/>
        <n v="0.6324924615724057"/>
        <n v="-0.24070080862533694"/>
        <n v="-0.41872427983539096"/>
        <n v="0.3938073675192755"/>
        <n v="-0.6858817782120177"/>
        <n v="0.6609094457455112"/>
        <n v="0.9926373787117851"/>
        <n v="-0.26762348010429104"/>
        <n v="-0.7781104700698653"/>
        <n v="-0.8166638310283645"/>
        <n v="-1.1753904447305141"/>
        <n v="-0.805185041470631"/>
        <n v="-1.967622504537205"/>
        <n v="0.16636024964923316"/>
        <n v="0.42289278978674016"/>
        <n v="0.20534635278194033"/>
        <n v="0.7321984788120246"/>
        <n v="0.7068965517241379"/>
        <n v="0.34743843076774783"/>
        <n v="-0.10311762154869177"/>
        <n v="0.6447887595034164"/>
        <n v="0.37441396388815423"/>
        <n v="0.9819404418828049"/>
        <n v="0.09059476072706317"/>
        <n v="-0.45335700064765283"/>
        <n v="-0.31126986790688754"/>
        <n v="0.6096591996936627"/>
        <n v="-0.6100977743778537"/>
        <n v="-0.1039407690470504"/>
        <n v="0.6370619528137598"/>
        <n v="1.2100660105330887"/>
        <n v="0.9109509195156187"/>
        <n v="1.6924429240016154"/>
        <n v="1.1843115873316898"/>
        <n v="1.719360568383659"/>
        <n v="-0.469368921700859"/>
        <n v="0.20873017748682438"/>
        <n v="0.195969570969571"/>
        <n v="-0.24847740899863083"/>
        <n v="-1.2679290609764713"/>
        <n v="-0.41839902172890603"/>
        <n v="-0.6018792576932112"/>
        <n v="-0.8123796552857746"/>
        <n v="-1.7012360707931453"/>
        <n v="-2.604651162790698"/>
        <n v="-1.2298327852795075"/>
        <n v="-2.5107383018824025"/>
        <n v="0.7718421786411377"/>
        <n v="1.2570287651196805"/>
        <n v="-0.4063427988121752"/>
        <n v="0.17052934087327337"/>
        <n v="-0.3283302063789869"/>
        <n v="-1.0380549193790918"/>
        <n v="1.4442624085654292"/>
        <n v="2.102012123447116"/>
        <n v="-0.3682598180352412"/>
        <n v="-0.34253863693944764"/>
        <n v="-0.514244293078056"/>
        <n v="-1.4900528371238226"/>
        <n v="-0.09245009991501482"/>
        <n v="0.11902739191330103"/>
        <n v="-0.7541618894748912"/>
        <n v="-1.0465254858819215"/>
        <n v="-0.9803230677710154"/>
        <n v="-1.5907844212835984"/>
        <n v="0.5041790363096598"/>
        <n v="0.199255928605665"/>
        <n v="-0.10643298874968622"/>
        <n v="-0.7720817852339815"/>
        <n v="-0.6526639344262295"/>
        <n v="-0.6804334957424525"/>
        <n v="-0.10689733667197814"/>
        <n v="0.3076363140055959"/>
        <n v="0.09377274381368268"/>
        <n v="0.6033268190701269"/>
        <n v="0.6975350674111399"/>
        <n v="1.676825814053613"/>
        <n v="0.26862358723471724"/>
        <n v="0.08069738480697385"/>
        <n v="-0.4577026629561755"/>
        <n v="0.12124225848741015"/>
        <n v="0.44496894409937887"/>
        <n v="0.43219803053573047"/>
        <n v="-0.45962536673437154"/>
        <n v="-0.9741138270046"/>
        <n v="0.7309130219359489"/>
        <n v="1.0298937511255177"/>
        <n v="-0.8539348573740644"/>
        <n v="-0.013558104559024894"/>
        <n v="0.6782663288414539"/>
        <n v="0.8964697971534238"/>
        <n v="-0.40788442154776566"/>
        <n v="0.5031311504741457"/>
        <n v="0.5171396648044693"/>
        <n v="0.4770629901906017"/>
        <n v="0.0819053151321522"/>
        <n v="0.5738140417457306"/>
        <n v="1.06554052548303"/>
        <n v="0.3553478018920423"/>
        <n v="-0.5060940349628575"/>
        <n v="-0.9036473961458958"/>
        <n v="0.0"/>
        <n v="1.4389302820649281"/>
        <n v="0.5896674715877622"/>
        <n v="1.918825714033071"/>
        <n v="2.0523950116776097"/>
        <n v="3.187358420022433"/>
        <n v="1.0532428753348264"/>
        <n v="0.16417092368069106"/>
        <n v="1.107962006478158"/>
        <n v="2.0383304195804195"/>
        <n v="0.6980201261705704"/>
        <n v="0.7128263337116912"/>
        <n v="0.041187384044526903"/>
        <n v="-1.5909783602560195"/>
        <n v="0.35696257615317667"/>
        <n v="1.4002954209748892"/>
        <n v="1.700433275563258"/>
        <n v="1.2352253539420703"/>
        <n v="-0.12369326667099538"/>
        <n v="-1.0858167830052081"/>
        <n v="-0.39896764718586675"/>
        <n v="1.0722920123251956"/>
        <n v="1.250516129032258"/>
        <n v="1.0181224068620074"/>
        <n v="0.3305472594056853"/>
        <n v="0.3999914063507068"/>
        <n v="-0.5383063217773961"/>
        <n v="1.3232876712328767"/>
        <n v="0.8823529411764706"/>
        <n v="2.0948967400580303"/>
        <n v="1.693392914139802"/>
        <n v="1.4196320323301075"/>
        <n v="-0.28975678203928906"/>
        <n v="-1.2556786821211734"/>
        <n v="-0.027638617644561433"/>
        <n v="-0.8708261782102652"/>
        <n v="-0.49799809342230694"/>
        <n v="-1.0935066034541143"/>
        <n v="0.4433164128595601"/>
        <n v="0.05546630591020547"/>
        <n v="-0.11108293177783413"/>
        <n v="-1.3879514006074924"/>
        <n v="-1.1517340127603126"/>
        <n v="-2.261461814971306"/>
        <n v="0.30554913537705125"/>
        <n v="0.11124414476862647"/>
        <n v="-0.5983001049317944"/>
        <n v="-0.18104026845637586"/>
        <n v="0.33456313935938287"/>
        <n v="0.6000880078788006"/>
        <n v="-0.20958146549918305"/>
        <n v="-0.20989568058988647"/>
        <n v="-0.7279347143753923"/>
        <n v="-0.6869206787604879"/>
        <n v="-0.7163280662151994"/>
        <n v="0.6183595055128633"/>
        <n v="0.6051911712501827"/>
        <n v="-0.7743408977139997"/>
        <n v="-1.7177730103517945"/>
        <n v="0.5213328338328338"/>
        <n v="-0.9715080782489514"/>
        <n v="0.6902267493724458"/>
        <n v="1.3810826494238582"/>
        <n v="-0.7482869268191699"/>
        <n v="-0.14136396564214013"/>
        <n v="0.2688234320701638"/>
        <n v="-0.05667245801274096"/>
        <n v="0.4253648050928031"/>
        <n v="-0.49662308693227586"/>
        <n v="-0.09941170399422024"/>
        <n v="0.41220035482939305"/>
        <n v="0.8535202556437481"/>
        <n v="-0.11394883845567168"/>
        <n v="-0.6556404605466416"/>
        <n v="-0.427945081410428"/>
        <n v="-0.8993705516929279"/>
        <n v="-0.771143256349141"/>
        <n v="-1.542793809777924"/>
        <n v="0.41461713605874756"/>
        <n v="0.41521199565137124"/>
        <n v="1.6021938890366945"/>
        <n v="3.215860829794185"/>
        <n v="-1.5994132985658411"/>
        <n v="-1.5157045667495008"/>
        <n v="-0.10022199140547036"/>
        <n v="0.08600399071547828"/>
        <n v="0.8602106804408834"/>
        <n v="2.0781989078138006"/>
        <n v="1.4609509531816618"/>
        <n v="2.991267081749818"/>
        <n v="0.6014542516663299"/>
        <n v="-0.8443691923162202"/>
        <n v="-1.158959188601787"/>
        <n v="-2.1890523269833615"/>
        <n v="-0.4295698276900832"/>
        <n v="-0.6164193788021765"/>
        <n v="-1.4183665290746605"/>
        <n v="-3.2341854376111767"/>
        <n v="0.04298904788552242"/>
        <n v="-0.40154193380869635"/>
        <n v="-1.947772045495289"/>
        <n v="-3.3351888667992045"/>
        <n v="0.2722430890915956"/>
        <n v="0.1578079360979196"/>
        <n v="-0.8322715093777909"/>
        <n v="-0.9769223137215994"/>
        <n v="0.31636154471705974"/>
        <n v="-0.41717523975588494"/>
        <n v="0.5038314555570956"/>
        <n v="0.41798491357975803"/>
        <n v="-0.44715077166600714"/>
        <n v="-0.04330802088277171"/>
        <n v="0.3323318376786385"/>
        <n v="-0.3902766533046346"/>
        <n v="0.1881193982706203"/>
        <n v="-1.3736653402151215"/>
        <n v="-2.007131490540461"/>
        <n v="-2.24050906377045"/>
        <n v="-1.6320007838526358"/>
        <n v="-1.9082841975357008"/>
        <n v="1.2572942740926158"/>
        <n v="1.3601079326594059"/>
        <n v="-0.8683084975489718"/>
        <n v="-0.7824405866156339"/>
        <n v="-2.1555940651894545"/>
        <n v="-1.9696716046018181"/>
        <n v="-0.2174716848947184"/>
        <n v="0.08706985429999806"/>
        <n v="-0.05811985761801949"/>
        <n v="0.30538922155688625"/>
        <n v="0.7709802093651071"/>
        <n v="0.11642798928862498"/>
        <n v="-0.27678311640447695"/>
        <n v="0.27694752960787733"/>
        <n v="0.10215512229156169"/>
        <n v="-0.5402192014251965"/>
        <n v="-0.0730923383739617"/>
        <n v="0.014636129556850522"/>
        <n v="0.7905699421741736"/>
        <n v="1.0990179399938138"/>
        <n v="0.058687079563906286"/>
        <n v="-0.02937879315010244"/>
        <n v="-0.3087578971773025"/>
        <n v="0.26479786864357696"/>
        <n v="-0.5740494241564905"/>
        <n v="-1.2222586303270948"/>
        <n v="0.8101317005545287"/>
        <n v="1.3853583453583456"/>
        <n v="0.1917942602138955"/>
        <n v="0.5610904966066176"/>
        <n v="-0.47282159669516766"/>
        <n v="-1.005357039995392"/>
        <n v="-0.1332117488961413"/>
        <n v="-0.26672296973070503"/>
        <n v="0.23732130864434425"/>
        <n v="-0.08907301916105645"/>
        <n v="1.2910730698529411"/>
        <n v="2.1817764516869405"/>
        <n v="0.40104375752709753"/>
        <n v="0.6244696709092994"/>
        <n v="0.31251074560146713"/>
        <n v="0.9528535980148882"/>
        <n v="1.0421273351124667"/>
        <n v="-0.4314770067923667"/>
        <n v="-1.2493968808768499"/>
        <n v="-1.9046823694649535"/>
        <n v="0.6550226621911209"/>
        <n v="-1.1005695472005148"/>
        <n v="2.1089241569323094"/>
        <n v="2.585896686343662"/>
        <n v="-1.5297029702970297"/>
        <n v="-1.9914592621856009"/>
        <n v="-0.5650531064949713"/>
        <n v="-2.509995124329595"/>
        <n v="0.20813648293963252"/>
        <n v="0.19350968298307117"/>
        <n v="0.43198426082068575"/>
        <n v="0.7901262314117692"/>
        <n v="-0.8201275982712493"/>
        <n v="-1.2087517531556802"/>
        <n v="-0.05976177565025525"/>
        <n v="-0.6278378832894221"/>
        <n v="0.22444519166106255"/>
        <n v="-0.22459952951719503"/>
        <n v="-0.5992313719637328"/>
        <n v="-0.37488110114329415"/>
        <n v="-1.5434661206254654"/>
        <n v="0.16469145892930118"/>
        <n v="0.4344912091788426"/>
        <n v="0.8695910339196913"/>
        <n v="-0.2851180649589138"/>
        <n v="1.0649802781429973"/>
        <n v="-1.169733168142902"/>
        <n v="-1.4859149722735674"/>
        <n v="0.8556788596118692"/>
        <n v="-0.884896725812098"/>
        <n v="-0.07507645823353847"/>
        <n v="-0.7660702451954936"/>
        <n v="0.21049725790422907"/>
        <n v="0.8423685178374403"/>
        <n v="-0.6621343524915478"/>
        <n v="-1.5952721800095435"/>
        <n v="-0.5420931000330143"/>
        <n v="-0.5578196357500504"/>
        <n v="-0.8444273438501987"/>
        <n v="-0.030164918638917872"/>
        <n v="0.3320830665080962"/>
        <n v="0.6043202311927277"/>
        <n v="-0.2721837230988645"/>
        <n v="-1.2097967234672071"/>
        <n v="0.1816488633251164"/>
        <n v="-0.6056515314592189"/>
        <n v="-1.4678770441053284"/>
        <n v="-1.8626865671641792"/>
        <n v="0.15159235668789808"/>
        <n v="0.25798351438397293"/>
        <n v="-1.5922959572845157"/>
        <n v="-2.8954087183578734"/>
        <n v="-0.2579352850539291"/>
        <n v="-1.8648839355177216"/>
        <n v="0.2883161512027491"/>
        <n v="-1.0466250135432844"/>
        <n v="-0.22773635657935118"/>
        <n v="0.728793998845932"/>
        <n v="0.9869238666450533"/>
        <n v="0.6534036692292459"/>
        <n v="0.0912707699508542"/>
        <n v="-0.8975078217714964"/>
        <n v="-0.8976164388482747"/>
        <n v="-0.07608520106949954"/>
        <n v="-0.5633204217774909"/>
        <n v="-0.22855196644319364"/>
        <n v="-0.4116782828373318"/>
        <n v="-1.1439107785395892"/>
        <n v="0.6103647519722366"/>
        <n v="-0.3357218161999893"/>
        <n v="-0.1832961143367575"/>
        <n v="0.03057743485327475"/>
        <n v="-0.030612062652926368"/>
        <n v="-0.8878976573233179"/>
        <n v="-1.377166574629923"/>
        <n v="-2.0206838854376192"/>
        <n v="-0.15323283916780864"/>
        <n v="-1.3940287897636396"/>
        <n v="-1.1487265950838583"/>
        <n v="-1.2113080977479636"/>
        <n v="1.8228908408302045"/>
        <n v="2.5436786693798106"/>
        <n v="-0.4446625636672326"/>
        <n v="1.378677443834601"/>
        <n v="-0.6589602511198109"/>
        <n v="-0.7210368541703404"/>
        <n v="-0.3070685704212939"/>
        <n v="1.4572961562142668"/>
        <n v="1.3799947308334064"/>
        <n v="3.826955074875208"/>
        <n v="-0.7808945507997059"/>
        <n v="-0.4597057743103539"/>
        <n v="-0.965420234142932"/>
        <n v="-0.6748065468392461"/>
        <n v="0.12281467768133154"/>
        <n v="-1.5799748988983406"/>
        <n v="-2.2517082500217334"/>
        <n v="-1.793274828395169"/>
        <n v="-2.2498959994453305"/>
        <n v="-1.4850195698105364"/>
        <n v="-0.16856267206898343"/>
        <n v="-0.10738092352442127"/>
        <n v="-0.8745113640294738"/>
        <n v="-1.059592570815896"/>
        <n v="0.9061242117992571"/>
        <n v="1.5824543838146699"/>
        <n v="0.6916031324386794"/>
        <n v="1.7826169351365322"/>
        <n v="0.3537059998622305"/>
        <n v="0.4618166164442531"/>
        <n v="1.077478717000602"/>
        <n v="0.6468980454850188"/>
        <n v="-0.770314137024887"/>
        <n v="-1.4179352956320261"/>
        <n v="-0.32390282400576464"/>
        <n v="-0.18526460245304055"/>
        <n v="-0.4634376339477068"/>
        <n v="-0.46395199314187746"/>
        <n v="0.0309633617364171"/>
        <n v="0.2789023533243063"/>
        <n v="0.26362234407128166"/>
        <n v="-0.2637599753399322"/>
        <n v="-0.23292643257032308"/>
        <n v="-0.07771444221914103"/>
        <n v="-0.04667762144397659"/>
        <n v="-0.4670738592619207"/>
        <n v="-0.12467283644388184"/>
        <n v="-0.43668450843921547"/>
        <n v="0.8267384247394499"/>
        <n v="0.5151494449188727"/>
        <n v="0.5154225628595327"/>
        <n v="0.17193072263458747"/>
        <n v="-0.4848045569274848"/>
        <n v="-0.4226807639836289"/>
        <n v="-0.5012271611671667"/>
        <n v="-1.8788291354663036"/>
        <n v="0.6265306122448979"/>
        <n v="0.5173873858554253"/>
        <n v="0.9251010770223899"/>
        <n v="0.6119620962537785"/>
        <n v="0.07853492044624816"/>
        <n v="1.1778972541171282"/>
        <n v="0.4714278449254971"/>
        <n v="1.4928203738824166"/>
        <n v="0.9271927598748203"/>
        <n v="0.015716627515927874"/>
        <n v="-0.7860121912094963"/>
        <n v="0.4243507588532884"/>
        <n v="-1.0372603847320014"/>
        <n v="-1.948976844372644"/>
        <n v="-0.3617508032364964"/>
        <n v="0.39331036221531224"/>
        <n v="-0.5829805818719345"/>
        <n v="-0.6147454298232361"/>
        <n v="0.03153727437428706"/>
        <n v="0.12626635357262664"/>
        <n v="-0.031594834814690595"/>
        <n v="-0.7584704581252724"/>
        <n v="0.09482354516841894"/>
        <n v="0.7587822014051522"/>
        <n v="0.727911411461644"/>
        <n v="0.3958566722958851"/>
        <n v="0.11092352695361471"/>
        <n v="-0.22202911144905496"/>
        <n v="0.39663983432980393"/>
        <n v="-0.5396915476031513"/>
        <n v="-0.22238537008609757"/>
        <n v="-0.6991463251967454"/>
        <n v="-0.6202964272019472"/>
        <n v="-0.5569348173820314"/>
        <n v="-0.49376874375208263"/>
        <n v="0.0797167846730529"/>
        <n v="-0.41474623684561074"/>
        <n v="-0.14369433114126365"/>
        <n v="0.1118490038448095"/>
        <n v="0.11206896551724138"/>
        <n v="0.08012580500224652"/>
        <n v="0.1283280085197018"/>
        <n v="0.337092669294875"/>
        <n v="0.1927951302265243"/>
        <n v="-0.08040777635495834"/>
        <n v="0.04828813249305775"/>
        <n v="0.4509448701115229"/>
        <n v="0.9506960364131698"/>
        <n v="0.048387900533213735"/>
        <n v="0.4357658779576588"/>
        <n v="-0.37144801487186296"/>
        <n v="-0.6949293157231035"/>
        <n v="-0.4204398447606727"/>
        <n v="-0.776709330857484"/>
        <n v="-0.2429099467935224"/>
        <n v="-1.0528146271178018"/>
        <n v="-0.45377344435431805"/>
        <n v="-1.1509958314034276"/>
        <n v="0.16225066984221495"/>
        <n v="0.8439772577019702"/>
        <n v="-0.25988103106411103"/>
        <n v="-1.120895448467139"/>
        <n v="-0.26011322187195696"/>
        <n v="-0.6994522898244688"/>
        <n v="-0.34182100037930635"/>
        <n v="-0.14661412389322165"/>
        <n v="-0.08152801134302766"/>
        <n v="-0.6525070441101353"/>
        <n v="0.4406910863693261"/>
        <n v="1.0776397004361782"/>
        <n v="0.6206964617636899"/>
        <n v="0.8010328267877114"/>
        <n v="0.4743313661992668"/>
        <n v="0.016365159954650762"/>
        <n v="-0.32752418652781656"/>
        <n v="-0.6063581726821899"/>
        <n v="0.22960992907801417"/>
        <n v="0.016413623307345096"/>
        <n v="-0.3941656138738946"/>
        <n v="-0.09861072383420538"/>
        <n v="0.03290196657317653"/>
        <n v="-0.23048290563253257"/>
        <n v="0.2141873504049313"/>
        <n v="-0.0659509956568057"/>
        <n v="-0.3629601716991333"/>
        <n v="-0.5118762900108115"/>
        <n v="0.11568637085810689"/>
        <n v="0.14888215543362543"/>
        <n v="0.1821144335636852"/>
        <n v="0.48045314648680504"/>
        <n v="-0.34813845020865725"/>
        <n v="-0.5475072402113977"/>
        <n v="-0.4150175002453306"/>
        <n v="-0.21597933086960788"/>
        <n v="0.182898716586283"/>
        <n v="0.23299764582788385"/>
        <n v="-0.04997466119566461"/>
        <n v="-0.2834027948026477"/>
        <n v="0.33363287313128015"/>
        <n v="-0.6005778554055597"/>
        <n v="-1.4341043571812802"/>
        <n v="-1.3018009942140005"/>
        <n v="-1.7844359116201882"/>
        <n v="-2.352445687524392"/>
        <n v="-1.0843715989019023"/>
        <n v="-2.434833392816586"/>
        <n v="0.5505796513984597"/>
        <n v="-1.0838068411765658"/>
        <n v="-1.599767250157591"/>
        <n v="-3.0482277745496806"/>
        <n v="0.6331903087395554"/>
        <n v="-0.6163785464563631"/>
        <n v="0.6166070911023089"/>
        <n v="1.4334486364733328"/>
        <n v="0.9501221629267665"/>
        <n v="1.46753851838761"/>
        <n v="-1.1505167543972268"/>
        <n v="-2.4171314996473683"/>
        <n v="-0.5170060398276166"/>
        <n v="-1.0511601095258682"/>
        <n v="0.5675282067696247"/>
        <n v="1.4356940691110862"/>
        <n v="-0.05012791813239526"/>
        <n v="0.03344791749940043"/>
        <n v="0.20084083316015794"/>
        <n v="0.1842769909523962"/>
        <n v="0.1844203998785341"/>
        <n v="0.30203272820250576"/>
        <n v="-0.13434743704461202"/>
        <n v="0.05041936256889528"/>
        <n v="-0.2522759942501198"/>
        <n v="-0.5049101796407186"/>
        <n v="-0.2863095048050828"/>
        <n v="-0.5224719101123595"/>
        <n v="0.18553624714762157"/>
        <n v="0.06752401314739764"/>
        <n v="0.2702823416812889"/>
        <n v="0.6929761620027107"/>
        <n v="0.0169175330059315"/>
        <n v="-0.23701200363456665"/>
        <n v="0.3387993816831604"/>
        <n v="0.5763721819485382"/>
        <n v="-0.9333014963387456"/>
        <n v="-0.2886675048140427"/>
        <n v="-1.222667429879794"/>
        <n v="-0.23791053317648553"/>
        <n v="-0.20410758568067655"/>
        <n v="-0.25531204805873847"/>
        <n v="-0.2725827982963575"/>
        <n v="0.42613862015282217"/>
        <n v="0.784564078132444"/>
        <n v="-0.5971748273946512"/>
        <n v="-0.8707573665920884"/>
        <n v="-0.30752391376766763"/>
        <n v="-0.7691941775283037"/>
        <n v="-0.5301202909805538"/>
        <n v="-0.6503549695740365"/>
        <n v="-0.10277293614324196"/>
        <n v="0.9078187085437478"/>
        <n v="-0.5654726116262144"/>
        <n v="-0.8402037394412983"/>
        <n v="0.8917338391022602"/>
        <n v="1.064032869785082"/>
        <n v="0.7038265346409565"/>
        <n v="1.4766278445854244"/>
        <n v="0.20619142289122408"/>
        <n v="-0.41252720219509886"/>
        <n v="0.13761786130995554"/>
        <n v="-0.8944897766295957"/>
        <n v="-1.0664421503210373"/>
        <n v="0.017199364849780685"/>
        <n v="-1.2209083199849242"/>
        <n v="0.6700946886561735"/>
        <n v="0.9965542085643581"/>
        <n v="1.6156663848971542"/>
        <n v="0.7564371304320621"/>
        <n v="1.5303809538697222"/>
        <n v="1.203447791258725"/>
        <n v="2.852206994402607"/>
        <n v="0.32665689880915266"/>
        <n v="-1.1685631119343742"/>
        <n v="0.3610886343831694"/>
        <n v="-1.3403352858008484"/>
        <n v="-0.8249522597071929"/>
        <n v="0.017188954390319578"/>
        <n v="1.1171638899651297"/>
        <n v="2.062558067513162"/>
        <n v="-1.0655920299495685"/>
        <n v="-1.3929880453441796"/>
        <n v="1.7701037613488975"/>
        <n v="4.051096352681943"/>
        <n v="-0.9098537336412625"/>
        <n v="-1.5626884963377856"/>
        <n v="-0.06874692269817824"/>
        <n v="-2.1119933651763914"/>
        <n v="-2.845627096833494"/>
        <n v="-0.3937633751146438"/>
        <n v="-0.11993519495009705"/>
        <n v="-3.1639356756344794"/>
        <n v="1.4701861746662404"/>
        <n v="-1.0584607907167485"/>
        <n v="-0.05125907475471583"/>
        <n v="0.17098170222458434"/>
        <n v="-2.186260097297789"/>
        <n v="-0.23892158494334084"/>
        <n v="-2.0970552703110843"/>
        <n v="-3.6637411026661844"/>
        <n v="-0.3921459259817593"/>
        <n v="-1.5172663062303278"/>
        <n v="0.18766186833704754"/>
        <n v="3.0997101362209576"/>
        <n v="-0.7665696103740169"/>
        <n v="-0.9376031693628261"/>
        <n v="0.767287014681403"/>
        <n v="1.8924328454358865"/>
        <n v="-3.4873943304358215"/>
        <n v="-0.5434474950467025"/>
        <n v="0.169950995725159"/>
        <n v="1.0198401476476104"/>
        <n v="-0.3741463196893273"/>
        <n v="-0.98672020224552"/>
        <n v="-0.2723718053552579"/>
        <n v="0.90209416307738"/>
        <n v="-0.30655698758686223"/>
        <n v="-1.1072037985013725"/>
        <n v="0.3579120683517266"/>
        <n v="0.2217311343141908"/>
        <n v="0.9722292200767623"/>
        <n v="1.19477286869944"/>
        <n v="-1.5013465123849545"/>
        <n v="-0.25585692114403963"/>
        <n v="-1.7897727272727273"/>
        <n v="-1.074127606855255"/>
        <n v="-0.034127780071972154"/>
        <n v="1.3646407212090856"/>
        <n v="-2.317250301373085"/>
        <n v="-2.302162503858989"/>
        <n v="2.401575611759873"/>
        <n v="2.675770020533881"/>
        <n v="1.363023732786405"/>
        <n v="0.5623435372655804"/>
        <n v="0.8862037186032564"/>
        <n v="0.7674867624257672"/>
        <n v="0.17067392067392068"/>
        <n v="2.4039587195469077"/>
        <n v="1.3635236998264977"/>
        <n v="1.5350525533186583"/>
        <n v="-1.8577562367187728"/>
        <n v="-0.44297780168340867"/>
        <n v="1.3966110554514963"/>
        <n v="-0.918689408320895"/>
        <n v="-0.42552729169081005"/>
        <n v="-0.05109045095142931"/>
        <n v="2.2795571486384922"/>
        <n v="4.063065533315053"/>
        <n v="0.7481719716745749"/>
        <n v="2.7014340839716637"/>
        <n v="1.3927287370207382"/>
        <n v="3.2924791086350975"/>
        <n v="-2.2040529695024076"/>
        <n v="-5.17932296431839"/>
        <n v="-2.6030582261147406"/>
        <n v="-1.7920004561393506"/>
        <n v="-2.8525944570055315"/>
        <n v="-0.6745017884517118"/>
        <n v="0.3037037037037037"/>
        <n v="0.10130246020260492"/>
        <n v="-0.5236055762767149"/>
        <n v="-2.6661381653454135"/>
        <n v="-2.006345482553456"/>
        <n v="0.16843471391490802"/>
        <n v="1.9858885164633975"/>
        <n v="0.7571856666525978"/>
        <n v="-0.16838048080575055"/>
        <n v="0.7072714749581817"/>
        <n v="-2.103036511099262"/>
        <n v="-3.280251205562409"/>
      </sharedItems>
    </cacheField>
    <cacheField name="TS_Interpretation" numFmtId="0">
      <sharedItems>
        <s v="Acceptable"/>
        <s v="Over Forecasting Problem"/>
        <s v="Under Forecasting Proble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01" sheet="Master_Data"/>
  </cacheSource>
  <cacheFields>
    <cacheField name="SKU" numFmtId="0">
      <sharedItems>
        <s v="SKU001"/>
        <s v="SKU002"/>
        <s v="SKU003"/>
        <s v="SKU004"/>
        <s v="SKU005"/>
        <s v="SKU006"/>
        <s v="SKU007"/>
        <s v="SKU008"/>
        <s v="SKU009"/>
        <s v="SKU010"/>
        <s v="SKU011"/>
        <s v="SKU012"/>
        <s v="SKU013"/>
        <s v="SKU014"/>
        <s v="SKU015"/>
        <s v="SKU016"/>
        <s v="SKU017"/>
        <s v="SKU018"/>
        <s v="SKU019"/>
        <s v="SKU020"/>
        <s v="SKU021"/>
        <s v="SKU022"/>
        <s v="SKU023"/>
        <s v="SKU024"/>
        <s v="SKU025"/>
        <s v="SKU026"/>
        <s v="SKU027"/>
        <s v="SKU028"/>
        <s v="SKU029"/>
        <s v="SKU030"/>
        <s v="SKU031"/>
        <s v="SKU032"/>
        <s v="SKU033"/>
        <s v="SKU034"/>
        <s v="SKU035"/>
        <s v="SKU036"/>
        <s v="SKU037"/>
        <s v="SKU038"/>
        <s v="SKU039"/>
        <s v="SKU040"/>
        <s v="SKU041"/>
        <s v="SKU042"/>
        <s v="SKU043"/>
        <s v="SKU044"/>
        <s v="SKU045"/>
        <s v="SKU046"/>
        <s v="SKU047"/>
        <s v="SKU048"/>
        <s v="SKU049"/>
        <s v="SKU050"/>
        <s v="SKU051"/>
        <s v="SKU052"/>
        <s v="SKU053"/>
        <s v="SKU054"/>
        <s v="SKU055"/>
        <s v="SKU056"/>
        <s v="SKU057"/>
        <s v="SKU058"/>
        <s v="SKU059"/>
        <s v="SKU060"/>
        <s v="SKU061"/>
        <s v="SKU062"/>
        <s v="SKU063"/>
        <s v="SKU064"/>
        <s v="SKU065"/>
        <s v="SKU066"/>
        <s v="SKU067"/>
        <s v="SKU068"/>
        <s v="SKU069"/>
        <s v="SKU070"/>
        <s v="SKU071"/>
        <s v="SKU072"/>
        <s v="SKU073"/>
        <s v="SKU074"/>
        <s v="SKU075"/>
        <s v="SKU076"/>
        <s v="SKU077"/>
        <s v="SKU078"/>
        <s v="SKU079"/>
        <s v="SKU080"/>
        <s v="SKU081"/>
        <s v="SKU082"/>
        <s v="SKU083"/>
        <s v="SKU084"/>
        <s v="SKU085"/>
        <s v="SKU086"/>
        <s v="SKU087"/>
        <s v="SKU088"/>
        <s v="SKU089"/>
        <s v="SKU090"/>
        <s v="SKU091"/>
        <s v="SKU092"/>
        <s v="SKU093"/>
        <s v="SKU094"/>
        <s v="SKU095"/>
        <s v="SKU096"/>
        <s v="SKU097"/>
        <s v="SKU098"/>
        <s v="SKU099"/>
        <s v="SKU100"/>
      </sharedItems>
    </cacheField>
    <cacheField name="Category" numFmtId="0">
      <sharedItems>
        <s v="Fast Moving"/>
        <s v="Medium Moving"/>
        <s v="Slow Moving"/>
        <s v="New Product"/>
      </sharedItems>
    </cacheField>
    <cacheField name="Month" numFmtId="0">
      <sharedItems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Actual_Demand" numFmtId="0">
      <sharedItems containsSemiMixedTypes="0" containsString="0" containsNumber="1" containsInteger="1">
        <n v="1751.0"/>
        <n v="2009.0"/>
        <n v="1928.0"/>
        <n v="2131.0"/>
        <n v="2387.0"/>
        <n v="2519.0"/>
        <n v="2259.0"/>
        <n v="2531.0"/>
        <n v="2151.0"/>
        <n v="2402.0"/>
        <n v="2177.0"/>
        <n v="2245.0"/>
        <n v="1670.0"/>
        <n v="1559.0"/>
        <n v="1663.0"/>
        <n v="1994.0"/>
        <n v="1755.0"/>
        <n v="1917.0"/>
        <n v="1865.0"/>
        <n v="1904.0"/>
        <n v="1777.0"/>
        <n v="1690.0"/>
        <n v="1526.0"/>
        <n v="1433.0"/>
        <n v="1591.0"/>
        <n v="1619.0"/>
        <n v="1810.0"/>
        <n v="1803.0"/>
        <n v="1794.0"/>
        <n v="1849.0"/>
        <n v="1688.0"/>
        <n v="1513.0"/>
        <n v="1620.0"/>
        <n v="1476.0"/>
        <n v="1665.0"/>
        <n v="1079.0"/>
        <n v="1220.0"/>
        <n v="1136.0"/>
        <n v="1156.0"/>
        <n v="1284.0"/>
        <n v="1338.0"/>
        <n v="1160.0"/>
        <n v="1265.0"/>
        <n v="1188.0"/>
        <n v="1102.0"/>
        <n v="966.0"/>
        <n v="931.0"/>
        <n v="1362.0"/>
        <n v="1398.0"/>
        <n v="1357.0"/>
        <n v="1533.0"/>
        <n v="1685.0"/>
        <n v="1549.0"/>
        <n v="1651.0"/>
        <n v="1599.0"/>
        <n v="1500.0"/>
        <n v="1499.0"/>
        <n v="1462.0"/>
        <n v="1353.0"/>
        <n v="1424.0"/>
        <n v="1395.0"/>
        <n v="1728.0"/>
        <n v="1657.0"/>
        <n v="1669.0"/>
        <n v="1929.0"/>
        <n v="1816.0"/>
        <n v="1694.0"/>
        <n v="1726.0"/>
        <n v="1523.0"/>
        <n v="1792.0"/>
        <n v="1508.0"/>
        <n v="1063.0"/>
        <n v="1108.0"/>
        <n v="1151.0"/>
        <n v="1182.0"/>
        <n v="1310.0"/>
        <n v="1192.0"/>
        <n v="1341.0"/>
        <n v="1166.0"/>
        <n v="1172.0"/>
        <n v="1204.0"/>
        <n v="1126.0"/>
        <n v="1216.0"/>
        <n v="1175.0"/>
        <n v="1415.0"/>
        <n v="1263.0"/>
        <n v="1489.0"/>
        <n v="1491.0"/>
        <n v="1346.0"/>
        <n v="1449.0"/>
        <n v="1254.0"/>
        <n v="1339.0"/>
        <n v="1294.0"/>
        <n v="1203.0"/>
        <n v="839.0"/>
        <n v="929.0"/>
        <n v="1096.0"/>
        <n v="955.0"/>
        <n v="1046.0"/>
        <n v="1229.0"/>
        <n v="1180.0"/>
        <n v="1125.0"/>
        <n v="1308.0"/>
        <n v="1302.0"/>
        <n v="1165.0"/>
        <n v="1511.0"/>
        <n v="1602.0"/>
        <n v="1813.0"/>
        <n v="1992.0"/>
        <n v="2059.0"/>
        <n v="1766.0"/>
        <n v="1981.0"/>
        <n v="2139.0"/>
        <n v="1790.0"/>
        <n v="1977.0"/>
        <n v="1707.0"/>
        <n v="1946.0"/>
        <n v="1434.0"/>
        <n v="1334.0"/>
        <n v="1581.0"/>
        <n v="1671.0"/>
        <n v="1710.0"/>
        <n v="1530.0"/>
        <n v="1518.0"/>
        <n v="1453.0"/>
        <n v="1466.0"/>
        <n v="1278.0"/>
        <n v="1423.0"/>
        <n v="1695.0"/>
        <n v="1754.0"/>
        <n v="1555.0"/>
        <n v="1805.0"/>
        <n v="2100.0"/>
        <n v="2013.0"/>
        <n v="1673.0"/>
        <n v="1966.0"/>
        <n v="1609.0"/>
        <n v="1606.0"/>
        <n v="1940.0"/>
        <n v="1845.0"/>
        <n v="1789.0"/>
        <n v="1982.0"/>
        <n v="2048.0"/>
        <n v="2190.0"/>
        <n v="1943.0"/>
        <n v="1774.0"/>
        <n v="1705.0"/>
        <n v="1542.0"/>
        <n v="1495.0"/>
        <n v="1781.0"/>
        <n v="1767.0"/>
        <n v="1942.0"/>
        <n v="2132.0"/>
        <n v="2098.0"/>
        <n v="2233.0"/>
        <n v="2260.0"/>
        <n v="1926.0"/>
        <n v="2283.0"/>
        <n v="2024.0"/>
        <n v="1836.0"/>
        <n v="1924.0"/>
        <n v="1742.0"/>
        <n v="1778.0"/>
        <n v="1848.0"/>
        <n v="1894.0"/>
        <n v="2282.0"/>
        <n v="2214.0"/>
        <n v="1838.0"/>
        <n v="2025.0"/>
        <n v="2050.0"/>
        <n v="1837.0"/>
        <n v="1226.0"/>
        <n v="1168.0"/>
        <n v="1352.0"/>
        <n v="1404.0"/>
        <n v="1497.0"/>
        <n v="1412.0"/>
        <n v="1547.0"/>
        <n v="1467.0"/>
        <n v="1320.0"/>
        <n v="1556.0"/>
        <n v="1373.0"/>
        <n v="1438.0"/>
        <n v="865.0"/>
        <n v="971.0"/>
        <n v="1042.0"/>
        <n v="938.0"/>
        <n v="965.0"/>
        <n v="1074.0"/>
        <n v="1082.0"/>
        <n v="1007.0"/>
        <n v="1057.0"/>
        <n v="935.0"/>
        <n v="921.0"/>
        <n v="1025.0"/>
        <n v="1918.0"/>
        <n v="2093.0"/>
        <n v="2188.0"/>
        <n v="2019.0"/>
        <n v="2267.0"/>
        <n v="2140.0"/>
        <n v="2030.0"/>
        <n v="2044.0"/>
        <n v="2080.0"/>
        <n v="2028.0"/>
        <n v="1775.0"/>
        <n v="1539.0"/>
        <n v="1650.0"/>
        <n v="1932.0"/>
        <n v="1761.0"/>
        <n v="1745.0"/>
        <n v="1853.0"/>
        <n v="2105.0"/>
        <n v="1786.0"/>
        <n v="1963.0"/>
        <n v="1637.0"/>
        <n v="1622.0"/>
        <n v="1829.0"/>
        <n v="2156.0"/>
        <n v="2102.0"/>
        <n v="1995.0"/>
        <n v="2185.0"/>
        <n v="2316.0"/>
        <n v="2244.0"/>
        <n v="1984.0"/>
        <n v="2061.0"/>
        <n v="1686.0"/>
        <n v="1749.0"/>
        <n v="975.0"/>
        <n v="1039.0"/>
        <n v="1153.0"/>
        <n v="1094.0"/>
        <n v="1152.0"/>
        <n v="1390.0"/>
        <n v="1473.0"/>
        <n v="1416.0"/>
        <n v="1296.0"/>
        <n v="1295.0"/>
        <n v="1205.0"/>
        <n v="1343.0"/>
        <n v="1446.0"/>
        <n v="1515.0"/>
        <n v="1411.0"/>
        <n v="1344.0"/>
        <n v="1507.0"/>
        <n v="1202.0"/>
        <n v="1245.0"/>
        <n v="1135.0"/>
        <n v="1345.0"/>
        <n v="1167.0"/>
        <n v="1087.0"/>
        <n v="1083.0"/>
        <n v="1185.0"/>
        <n v="1323.0"/>
        <n v="1348.0"/>
        <n v="1501.0"/>
        <n v="1509.0"/>
        <n v="1706.0"/>
        <n v="1732.0"/>
        <n v="1913.0"/>
        <n v="1915.0"/>
        <n v="1590.0"/>
        <n v="1875.0"/>
        <n v="1646.0"/>
        <n v="1783.0"/>
        <n v="1582.0"/>
        <n v="1601.0"/>
        <n v="1672.0"/>
        <n v="1550.0"/>
        <n v="1800.0"/>
        <n v="1877.0"/>
        <n v="1976.0"/>
        <n v="1759.0"/>
        <n v="1797.0"/>
        <n v="1723.0"/>
        <n v="1565.0"/>
        <n v="842.0"/>
        <n v="766.0"/>
        <n v="899.0"/>
        <n v="913.0"/>
        <n v="927.0"/>
        <n v="1033.0"/>
        <n v="1009.0"/>
        <n v="1041.0"/>
        <n v="901.0"/>
        <n v="912.0"/>
        <n v="897.0"/>
        <n v="1326.0"/>
        <n v="1652.0"/>
        <n v="1575.0"/>
        <n v="1427.0"/>
        <n v="1613.0"/>
        <n v="1738.0"/>
        <n v="1661.0"/>
        <n v="1617.0"/>
        <n v="1407.0"/>
        <n v="1417.0"/>
        <n v="882.0"/>
        <n v="944.0"/>
        <n v="1047.0"/>
        <n v="1031.0"/>
        <n v="1092.0"/>
        <n v="1261.0"/>
        <n v="1330.0"/>
        <n v="1304.0"/>
        <n v="1201.0"/>
        <n v="1709.0"/>
        <n v="1820.0"/>
        <n v="1653.0"/>
        <n v="1925.0"/>
        <n v="1830.0"/>
        <n v="1799.0"/>
        <n v="1876.0"/>
        <n v="1641.0"/>
        <n v="1607.0"/>
        <n v="1505.0"/>
        <n v="1351.0"/>
        <n v="1914.0"/>
        <n v="1978.0"/>
        <n v="2071.0"/>
        <n v="1908.0"/>
        <n v="2106.0"/>
        <n v="1953.0"/>
        <n v="1878.0"/>
        <n v="1839.0"/>
        <n v="1625.0"/>
        <n v="1962.0"/>
        <n v="1991.0"/>
        <n v="2031.0"/>
        <n v="2008.0"/>
        <n v="2303.0"/>
        <n v="2124.0"/>
        <n v="2401.0"/>
        <n v="2160.0"/>
        <n v="2049.0"/>
        <n v="2109.0"/>
        <n v="1947.0"/>
        <n v="1823.0"/>
        <n v="2235.0"/>
        <n v="2033.0"/>
        <n v="2155.0"/>
        <n v="2563.0"/>
        <n v="2510.0"/>
        <n v="2484.0"/>
        <n v="2507.0"/>
        <n v="2189.0"/>
        <n v="2518.0"/>
        <n v="1222.0"/>
        <n v="1285.0"/>
        <n v="1287.0"/>
        <n v="1421.0"/>
        <n v="1615.0"/>
        <n v="1753.0"/>
        <n v="1519.0"/>
        <n v="1698.0"/>
        <n v="1573.0"/>
        <n v="1442.0"/>
        <n v="1598.0"/>
        <n v="1693.0"/>
        <n v="1713.0"/>
        <n v="1552.0"/>
        <n v="1535.0"/>
        <n v="1592.0"/>
        <n v="1627.0"/>
        <n v="998.0"/>
        <n v="982.0"/>
        <n v="1198.0"/>
        <n v="1197.0"/>
        <n v="1098.0"/>
        <n v="1269.0"/>
        <n v="1317.0"/>
        <n v="1230.0"/>
        <n v="1076.0"/>
        <n v="992.0"/>
        <n v="1013.0"/>
        <n v="1568.0"/>
        <n v="1472.0"/>
        <n v="1569.0"/>
        <n v="1868.0"/>
        <n v="1969.0"/>
        <n v="2084.0"/>
        <n v="1725.0"/>
        <n v="1972.0"/>
        <n v="1680.0"/>
        <n v="1795.0"/>
        <n v="1270.0"/>
        <n v="1281.0"/>
        <n v="1557.0"/>
        <n v="1631.0"/>
        <n v="1600.0"/>
        <n v="1901.0"/>
        <n v="1744.0"/>
        <n v="1784.0"/>
        <n v="1886.0"/>
        <n v="922.0"/>
        <n v="917.0"/>
        <n v="934.0"/>
        <n v="946.0"/>
        <n v="996.0"/>
        <n v="1105.0"/>
        <n v="875.0"/>
        <n v="817.0"/>
        <n v="894.0"/>
        <n v="893.0"/>
        <n v="1428.0"/>
        <n v="1452.0"/>
        <n v="1640.0"/>
        <n v="1903.0"/>
        <n v="1655.0"/>
        <n v="1629.0"/>
        <n v="1145.0"/>
        <n v="1375.0"/>
        <n v="1382.0"/>
        <n v="1291.0"/>
        <n v="1551.0"/>
        <n v="1531.0"/>
        <n v="1643.0"/>
        <n v="1605.0"/>
        <n v="1249.0"/>
        <n v="1274.0"/>
        <n v="389.0"/>
        <n v="401.0"/>
        <n v="463.0"/>
        <n v="475.0"/>
        <n v="488.0"/>
        <n v="545.0"/>
        <n v="525.0"/>
        <n v="471.0"/>
        <n v="495.0"/>
        <n v="466.0"/>
        <n v="462.0"/>
        <n v="609.0"/>
        <n v="578.0"/>
        <n v="656.0"/>
        <n v="610.0"/>
        <n v="667.0"/>
        <n v="689.0"/>
        <n v="686.0"/>
        <n v="740.0"/>
        <n v="753.0"/>
        <n v="796.0"/>
        <n v="673.0"/>
        <n v="784.0"/>
        <n v="331.0"/>
        <n v="292.0"/>
        <n v="364.0"/>
        <n v="384.0"/>
        <n v="346.0"/>
        <n v="361.0"/>
        <n v="443.0"/>
        <n v="422.0"/>
        <n v="400.0"/>
        <n v="403.0"/>
        <n v="404.0"/>
        <n v="441.0"/>
        <n v="523.0"/>
        <n v="491.0"/>
        <n v="524.0"/>
        <n v="616.0"/>
        <n v="603.0"/>
        <n v="516.0"/>
        <n v="518.0"/>
        <n v="543.0"/>
        <n v="467.0"/>
        <n v="511.0"/>
        <n v="385.0"/>
        <n v="396.0"/>
        <n v="391.0"/>
        <n v="415.0"/>
        <n v="379.0"/>
        <n v="376.0"/>
        <n v="366.0"/>
        <n v="333.0"/>
        <n v="330.0"/>
        <n v="374.0"/>
        <n v="354.0"/>
        <n v="458.0"/>
        <n v="481.0"/>
        <n v="473.0"/>
        <n v="552.0"/>
        <n v="490.0"/>
        <n v="530.0"/>
        <n v="469.0"/>
        <n v="486.0"/>
        <n v="459.0"/>
        <n v="507.0"/>
        <n v="493.0"/>
        <n v="583.0"/>
        <n v="546.0"/>
        <n v="678.0"/>
        <n v="694.0"/>
        <n v="722.0"/>
        <n v="717.0"/>
        <n v="774.0"/>
        <n v="751.0"/>
        <n v="641.0"/>
        <n v="713.0"/>
        <n v="658.0"/>
        <n v="574.0"/>
        <n v="534.0"/>
        <n v="639.0"/>
        <n v="711.0"/>
        <n v="676.0"/>
        <n v="702.0"/>
        <n v="727.0"/>
        <n v="802.0"/>
        <n v="761.0"/>
        <n v="666.0"/>
        <n v="729.0"/>
        <n v="752.0"/>
        <n v="335.0"/>
        <n v="406.0"/>
        <n v="425.0"/>
        <n v="397.0"/>
        <n v="370.0"/>
        <n v="337.0"/>
        <n v="332.0"/>
        <n v="437.0"/>
        <n v="482.0"/>
        <n v="550.0"/>
        <n v="474.0"/>
        <n v="485.0"/>
        <n v="508.0"/>
        <n v="494.0"/>
        <n v="416.0"/>
        <n v="449.0"/>
        <n v="417.0"/>
        <n v="381.0"/>
        <n v="456.0"/>
        <n v="423.0"/>
        <n v="477.0"/>
        <n v="489.0"/>
        <n v="504.0"/>
        <n v="451.0"/>
        <n v="442.0"/>
        <n v="440.0"/>
        <n v="661.0"/>
        <n v="631.0"/>
        <n v="692.0"/>
        <n v="818.0"/>
        <n v="872.0"/>
        <n v="771.0"/>
        <n v="879.0"/>
        <n v="843.0"/>
        <n v="757.0"/>
        <n v="873.0"/>
        <n v="745.0"/>
        <n v="714.0"/>
        <n v="592.0"/>
        <n v="731.0"/>
        <n v="791.0"/>
        <n v="798.0"/>
        <n v="841.0"/>
        <n v="845.0"/>
        <n v="787.0"/>
        <n v="806.0"/>
        <n v="874.0"/>
        <n v="608.0"/>
        <n v="559.0"/>
        <n v="586.0"/>
        <n v="655.0"/>
        <n v="739.0"/>
        <n v="716.0"/>
        <n v="754.0"/>
        <n v="665.0"/>
        <n v="674.0"/>
        <n v="646.0"/>
        <n v="682.0"/>
        <n v="510.0"/>
        <n v="582.0"/>
        <n v="538.0"/>
        <n v="580.0"/>
        <n v="587.0"/>
        <n v="590.0"/>
        <n v="579.0"/>
        <n v="537.0"/>
        <n v="577.0"/>
        <n v="280.0"/>
        <n v="273.0"/>
        <n v="338.0"/>
        <n v="284.0"/>
        <n v="328.0"/>
        <n v="321.0"/>
        <n v="310.0"/>
        <n v="271.0"/>
        <n v="274.0"/>
        <n v="261.0"/>
        <n v="293.0"/>
        <n v="520.0"/>
        <n v="622.0"/>
        <n v="526.0"/>
        <n v="636.0"/>
        <n v="637.0"/>
        <n v="650.0"/>
        <n v="601.0"/>
        <n v="591.0"/>
        <n v="492.0"/>
        <n v="399.0"/>
        <n v="418.0"/>
        <n v="464.0"/>
        <n v="498.0"/>
        <n v="476.0"/>
        <n v="480.0"/>
        <n v="515.0"/>
        <n v="827.0"/>
        <n v="915.0"/>
        <n v="948.0"/>
        <n v="856.0"/>
        <n v="902.0"/>
        <n v="909.0"/>
        <n v="933.0"/>
        <n v="887.0"/>
        <n v="788.0"/>
        <n v="651.0"/>
        <n v="660.0"/>
        <n v="773.0"/>
        <n v="734.0"/>
        <n v="832.0"/>
        <n v="776.0"/>
        <n v="809.0"/>
        <n v="294.0"/>
        <n v="324.0"/>
        <n v="371.0"/>
        <n v="395.0"/>
        <n v="382.0"/>
        <n v="375.0"/>
        <n v="663.0"/>
        <n v="720.0"/>
        <n v="840.0"/>
        <n v="860.0"/>
        <n v="907.0"/>
        <n v="822.0"/>
        <n v="880.0"/>
        <n v="920.0"/>
        <n v="350.0"/>
        <n v="362.0"/>
        <n v="368.0"/>
        <n v="414.0"/>
        <n v="452.0"/>
        <n v="470.0"/>
        <n v="461.0"/>
        <n v="433.0"/>
        <n v="388.0"/>
        <n v="453.0"/>
        <n v="450.0"/>
        <n v="478.0"/>
        <n v="413.0"/>
        <n v="434.0"/>
        <n v="387.0"/>
        <n v="499.0"/>
        <n v="505.0"/>
        <n v="619.0"/>
        <n v="519.0"/>
        <n v="541.0"/>
        <n v="531.0"/>
        <n v="815.0"/>
        <n v="780.0"/>
        <n v="849.0"/>
        <n v="949.0"/>
        <n v="1054.0"/>
        <n v="1069.0"/>
        <n v="1124.0"/>
        <n v="1055.0"/>
        <n v="939.0"/>
        <n v="918.0"/>
        <n v="281.0"/>
        <n v="358.0"/>
        <n v="313.0"/>
        <n v="352.0"/>
        <n v="326.0"/>
        <n v="327.0"/>
        <n v="329.0"/>
        <n v="279.0"/>
        <n v="777.0"/>
        <n v="769.0"/>
        <n v="844.0"/>
        <n v="781.0"/>
        <n v="835.0"/>
        <n v="779.0"/>
        <n v="794.0"/>
        <n v="816.0"/>
        <n v="715.0"/>
        <n v="633.0"/>
        <n v="427.0"/>
        <n v="448.0"/>
        <n v="500.0"/>
        <n v="548.0"/>
        <n v="554.0"/>
        <n v="556.0"/>
        <n v="570.0"/>
        <n v="606.0"/>
        <n v="605.0"/>
        <n v="662.0"/>
        <n v="652.0"/>
        <n v="630.0"/>
        <n v="635.0"/>
        <n v="629.0"/>
        <n v="557.0"/>
        <n v="431.0"/>
        <n v="483.0"/>
        <n v="502.0"/>
        <n v="468.0"/>
        <n v="455.0"/>
        <n v="367.0"/>
        <n v="547.0"/>
        <n v="596.0"/>
        <n v="575.0"/>
        <n v="625.0"/>
        <n v="561.0"/>
        <n v="593.0"/>
        <n v="627.0"/>
        <n v="528.0"/>
        <n v="861.0"/>
        <n v="961.0"/>
        <n v="928.0"/>
        <n v="866.0"/>
        <n v="1034.0"/>
        <n v="973.0"/>
        <n v="854.0"/>
        <n v="848.0"/>
        <n v="821.0"/>
        <n v="825.0"/>
        <n v="862.0"/>
        <n v="767.0"/>
        <n v="850.0"/>
        <n v="356.0"/>
        <n v="465.0"/>
        <n v="501.0"/>
        <n v="118.0"/>
        <n v="121.0"/>
        <n v="127.0"/>
        <n v="135.0"/>
        <n v="129.0"/>
        <n v="139.0"/>
        <n v="130.0"/>
        <n v="147.0"/>
        <n v="140.0"/>
        <n v="125.0"/>
        <n v="116.0"/>
        <n v="286.0"/>
        <n v="298.0"/>
        <n v="341.0"/>
        <n v="336.0"/>
        <n v="322.0"/>
        <n v="295.0"/>
        <n v="311.0"/>
        <n v="312.0"/>
        <n v="306.0"/>
        <n v="276.0"/>
        <n v="285.0"/>
        <n v="314.0"/>
        <n v="349.0"/>
        <n v="320.0"/>
        <n v="309.0"/>
        <n v="187.0"/>
        <n v="193.0"/>
        <n v="190.0"/>
        <n v="179.0"/>
        <n v="188.0"/>
        <n v="203.0"/>
        <n v="227.0"/>
        <n v="210.0"/>
        <n v="194.0"/>
        <n v="171.0"/>
        <n v="176.0"/>
        <n v="196.0"/>
        <n v="163.0"/>
        <n v="212.0"/>
        <n v="184.0"/>
        <n v="229.0"/>
        <n v="252.0"/>
        <n v="221.0"/>
        <n v="230.0"/>
        <n v="222.0"/>
        <n v="232.0"/>
        <n v="198.0"/>
        <n v="101.0"/>
        <n v="110.0"/>
        <n v="103.0"/>
        <n v="126.0"/>
        <n v="113.0"/>
        <n v="124.0"/>
        <n v="137.0"/>
        <n v="134.0"/>
        <n v="268.0"/>
        <n v="266.0"/>
        <n v="300.0"/>
        <n v="262.0"/>
        <n v="254.0"/>
        <n v="269.0"/>
        <n v="145.0"/>
        <n v="132.0"/>
        <n v="160.0"/>
        <n v="146.0"/>
        <n v="167.0"/>
        <n v="183.0"/>
        <n v="168.0"/>
        <n v="169.0"/>
        <n v="153.0"/>
        <n v="161.0"/>
        <n v="67.0"/>
        <n v="82.0"/>
        <n v="79.0"/>
        <n v="96.0"/>
        <n v="97.0"/>
        <n v="90.0"/>
        <n v="83.0"/>
        <n v="92.0"/>
        <n v="78.0"/>
        <n v="84.0"/>
        <n v="88.0"/>
        <n v="93.0"/>
        <n v="99.0"/>
        <n v="86.0"/>
        <n v="304.0"/>
        <n v="317.0"/>
        <n v="339.0"/>
        <n v="347.0"/>
        <n v="342.0"/>
        <n v="365.0"/>
        <n v="302.0"/>
        <n v="305.0"/>
        <n v="340.0"/>
        <n v="53.0"/>
        <n v="64.0"/>
        <n v="63.0"/>
        <n v="66.0"/>
        <n v="73.0"/>
        <n v="72.0"/>
        <n v="74.0"/>
        <n v="80.0"/>
        <n v="75.0"/>
        <n v="233.0"/>
        <n v="247.0"/>
        <n v="246.0"/>
        <n v="245.0"/>
        <n v="244.0"/>
        <n v="288.0"/>
        <n v="264.0"/>
        <n v="255.0"/>
        <n v="238.0"/>
        <n v="174.0"/>
        <n v="180.0"/>
        <n v="192.0"/>
        <n v="200.0"/>
        <n v="220.0"/>
        <n v="197.0"/>
        <n v="177.0"/>
        <n v="191.0"/>
        <n v="185.0"/>
        <n v="162.0"/>
        <n v="164.0"/>
        <n v="182.0"/>
        <n v="202.0"/>
        <n v="159.0"/>
        <n v="158.0"/>
        <n v="242.0"/>
        <n v="248.0"/>
        <n v="278.0"/>
        <n v="260.0"/>
        <n v="253.0"/>
        <n v="348.0"/>
        <n v="380.0"/>
        <n v="405.0"/>
        <n v="402.0"/>
        <n v="421.0"/>
        <n v="439.0"/>
        <n v="411.0"/>
        <n v="419.0"/>
        <n v="572.0"/>
        <n v="696.0"/>
        <n v="165.0"/>
        <n v="172.0"/>
        <n v="178.0"/>
        <n v="173.0"/>
        <n v="156.0"/>
        <n v="372.0"/>
        <n v="394.0"/>
        <n v="386.0"/>
        <n v="344.0"/>
        <n v="334.0"/>
        <n v="357.0"/>
        <n v="316.0"/>
        <n v="393.0"/>
        <n v="479.0"/>
        <n v="542.0"/>
        <n v="426.0"/>
        <n v="297.0"/>
        <n v="383.0"/>
      </sharedItems>
    </cacheField>
    <cacheField name="Forecast_Demand" numFmtId="0">
      <sharedItems containsSemiMixedTypes="0" containsString="0" containsNumber="1" containsInteger="1">
        <n v="1741.0"/>
        <n v="1891.0"/>
        <n v="1819.0"/>
        <n v="1902.0"/>
        <n v="2098.0"/>
        <n v="2569.0"/>
        <n v="2323.0"/>
        <n v="2449.0"/>
        <n v="1879.0"/>
        <n v="2243.0"/>
        <n v="2233.0"/>
        <n v="1985.0"/>
        <n v="1611.0"/>
        <n v="1507.0"/>
        <n v="1464.0"/>
        <n v="2042.0"/>
        <n v="1831.0"/>
        <n v="1718.0"/>
        <n v="1705.0"/>
        <n v="1632.0"/>
        <n v="1735.0"/>
        <n v="1634.0"/>
        <n v="1618.0"/>
        <n v="1564.0"/>
        <n v="1530.0"/>
        <n v="1546.0"/>
        <n v="1624.0"/>
        <n v="1909.0"/>
        <n v="1814.0"/>
        <n v="1927.0"/>
        <n v="1782.0"/>
        <n v="1597.0"/>
        <n v="1494.0"/>
        <n v="1566.0"/>
        <n v="1404.0"/>
        <n v="1742.0"/>
        <n v="980.0"/>
        <n v="1207.0"/>
        <n v="1022.0"/>
        <n v="1088.0"/>
        <n v="1273.0"/>
        <n v="1291.0"/>
        <n v="1164.0"/>
        <n v="1239.0"/>
        <n v="1151.0"/>
        <n v="1056.0"/>
        <n v="876.0"/>
        <n v="923.0"/>
        <n v="1242.0"/>
        <n v="1364.0"/>
        <n v="1412.0"/>
        <n v="1534.0"/>
        <n v="1667.0"/>
        <n v="1527.0"/>
        <n v="1649.0"/>
        <n v="1551.0"/>
        <n v="1452.0"/>
        <n v="1280.0"/>
        <n v="1317.0"/>
        <n v="1316.0"/>
        <n v="1627.0"/>
        <n v="1661.0"/>
        <n v="1744.0"/>
        <n v="1794.0"/>
        <n v="1703.0"/>
        <n v="1517.0"/>
        <n v="1674.0"/>
        <n v="1423.0"/>
        <n v="1663.0"/>
        <n v="1460.0"/>
        <n v="965.0"/>
        <n v="1029.0"/>
        <n v="1118.0"/>
        <n v="1045.0"/>
        <n v="1206.0"/>
        <n v="1044.0"/>
        <n v="1312.0"/>
        <n v="1109.0"/>
        <n v="1140.0"/>
        <n v="1133.0"/>
        <n v="1227.0"/>
        <n v="1041.0"/>
        <n v="1314.0"/>
        <n v="1172.0"/>
        <n v="1489.0"/>
        <n v="1426.0"/>
        <n v="1577.0"/>
        <n v="1491.0"/>
        <n v="1456.0"/>
        <n v="1604.0"/>
        <n v="1394.0"/>
        <n v="1499.0"/>
        <n v="1393.0"/>
        <n v="1238.0"/>
        <n v="770.0"/>
        <n v="874.0"/>
        <n v="984.0"/>
        <n v="906.0"/>
        <n v="971.0"/>
        <n v="1210.0"/>
        <n v="1129.0"/>
        <n v="1185.0"/>
        <n v="1084.0"/>
        <n v="1223.0"/>
        <n v="1640.0"/>
        <n v="1560.0"/>
        <n v="1809.0"/>
        <n v="2236.0"/>
        <n v="2119.0"/>
        <n v="1975.0"/>
        <n v="2227.0"/>
        <n v="2366.0"/>
        <n v="1846.0"/>
        <n v="2017.0"/>
        <n v="1807.0"/>
        <n v="2104.0"/>
        <n v="1589.0"/>
        <n v="1377.0"/>
        <n v="1708.0"/>
        <n v="1679.0"/>
        <n v="1506.0"/>
        <n v="1804.0"/>
        <n v="1874.0"/>
        <n v="1576.0"/>
        <n v="1599.0"/>
        <n v="1565.0"/>
        <n v="1471.0"/>
        <n v="1233.0"/>
        <n v="1702.0"/>
        <n v="1596.0"/>
        <n v="1428.0"/>
        <n v="1664.0"/>
        <n v="1805.0"/>
        <n v="1980.0"/>
        <n v="1813.0"/>
        <n v="1935.0"/>
        <n v="1502.0"/>
        <n v="1644.0"/>
        <n v="1903.0"/>
        <n v="1656.0"/>
        <n v="1628.0"/>
        <n v="1950.0"/>
        <n v="1873.0"/>
        <n v="2163.0"/>
        <n v="1880.0"/>
        <n v="1613.0"/>
        <n v="1690.0"/>
        <n v="1370.0"/>
        <n v="1310.0"/>
        <n v="1496.0"/>
        <n v="1684.0"/>
        <n v="1659.0"/>
        <n v="1870.0"/>
        <n v="2035.0"/>
        <n v="2248.0"/>
        <n v="2025.0"/>
        <n v="1834.0"/>
        <n v="2196.0"/>
        <n v="1969.0"/>
        <n v="1747.0"/>
        <n v="1991.0"/>
        <n v="1569.0"/>
        <n v="1587.0"/>
        <n v="2039.0"/>
        <n v="2070.0"/>
        <n v="1840.0"/>
        <n v="2086.0"/>
        <n v="2088.0"/>
        <n v="1687.0"/>
        <n v="1234.0"/>
        <n v="1086.0"/>
        <n v="1390.0"/>
        <n v="1303.0"/>
        <n v="1509.0"/>
        <n v="1342.0"/>
        <n v="1375.0"/>
        <n v="1186.0"/>
        <n v="1595.0"/>
        <n v="1432.0"/>
        <n v="884.0"/>
        <n v="1058.0"/>
        <n v="1142.0"/>
        <n v="1020.0"/>
        <n v="1194.0"/>
        <n v="1069.0"/>
        <n v="1099.0"/>
        <n v="1042.0"/>
        <n v="1011.0"/>
        <n v="1014.0"/>
        <n v="1007.0"/>
        <n v="2125.0"/>
        <n v="2109.0"/>
        <n v="2329.0"/>
        <n v="2187.0"/>
        <n v="2289.0"/>
        <n v="2224.0"/>
        <n v="2100.0"/>
        <n v="2225.0"/>
        <n v="2291.0"/>
        <n v="2188.0"/>
        <n v="1835.0"/>
        <n v="1536.0"/>
        <n v="1707.0"/>
        <n v="1446.0"/>
        <n v="1964.0"/>
        <n v="1728.0"/>
        <n v="1699.0"/>
        <n v="2066.0"/>
        <n v="1764.0"/>
        <n v="2008.0"/>
        <n v="1498.0"/>
        <n v="1877.0"/>
        <n v="1894.0"/>
        <n v="2431.0"/>
        <n v="2219.0"/>
        <n v="2194.0"/>
        <n v="2176.0"/>
        <n v="2551.0"/>
        <n v="2437.0"/>
        <n v="2057.0"/>
        <n v="2284.0"/>
        <n v="1642.0"/>
        <n v="1923.0"/>
        <n v="1062.0"/>
        <n v="1037.0"/>
        <n v="997.0"/>
        <n v="1039.0"/>
        <n v="1355.0"/>
        <n v="1526.0"/>
        <n v="1424.0"/>
        <n v="1353.0"/>
        <n v="1195.0"/>
        <n v="1334.0"/>
        <n v="1190.0"/>
        <n v="1414.0"/>
        <n v="1522.0"/>
        <n v="1622.0"/>
        <n v="1731.0"/>
        <n v="1399.0"/>
        <n v="1379.0"/>
        <n v="1556.0"/>
        <n v="1602.0"/>
        <n v="1077.0"/>
        <n v="1168.0"/>
        <n v="1170.0"/>
        <n v="1161.0"/>
        <n v="1383.0"/>
        <n v="1282.0"/>
        <n v="1122.0"/>
        <n v="1054.0"/>
        <n v="1052.0"/>
        <n v="1160.0"/>
        <n v="1196.0"/>
        <n v="1218.0"/>
        <n v="1236.0"/>
        <n v="1378.0"/>
        <n v="1372.0"/>
        <n v="1574.0"/>
        <n v="1680.0"/>
        <n v="1714.0"/>
        <n v="1896.0"/>
        <n v="1637.0"/>
        <n v="1677.0"/>
        <n v="1639.0"/>
        <n v="1562.0"/>
        <n v="1657.0"/>
        <n v="1605.0"/>
        <n v="1505.0"/>
        <n v="1953.0"/>
        <n v="1792.0"/>
        <n v="1989.0"/>
        <n v="1700.0"/>
        <n v="1759.0"/>
        <n v="1868.0"/>
        <n v="1572.0"/>
        <n v="883.0"/>
        <n v="808.0"/>
        <n v="979.0"/>
        <n v="904.0"/>
        <n v="953.0"/>
        <n v="1096.0"/>
        <n v="1137.0"/>
        <n v="1049.0"/>
        <n v="896.0"/>
        <n v="926.0"/>
        <n v="998.0"/>
        <n v="1367.0"/>
        <n v="1756.0"/>
        <n v="1535.0"/>
        <n v="1670.0"/>
        <n v="1798.0"/>
        <n v="1654.0"/>
        <n v="1671.0"/>
        <n v="1403.0"/>
        <n v="1453.0"/>
        <n v="1323.0"/>
        <n v="851.0"/>
        <n v="889.0"/>
        <n v="1002.0"/>
        <n v="1009.0"/>
        <n v="948.0"/>
        <n v="970.0"/>
        <n v="1219.0"/>
        <n v="1179.0"/>
        <n v="1290.0"/>
        <n v="1228.0"/>
        <n v="1225.0"/>
        <n v="1222.0"/>
        <n v="1769.0"/>
        <n v="1638.0"/>
        <n v="1810.0"/>
        <n v="1828.0"/>
        <n v="1806.0"/>
        <n v="1856.0"/>
        <n v="1575.0"/>
        <n v="1521.0"/>
        <n v="1467.0"/>
        <n v="1251.0"/>
        <n v="2010.0"/>
        <n v="1696.0"/>
        <n v="2075.0"/>
        <n v="2105.0"/>
        <n v="1888.0"/>
        <n v="2011.0"/>
        <n v="2093.0"/>
        <n v="1955.0"/>
        <n v="1817.0"/>
        <n v="1784.0"/>
        <n v="1751.0"/>
        <n v="2031.0"/>
        <n v="2052.0"/>
        <n v="1905.0"/>
        <n v="2333.0"/>
        <n v="2111.0"/>
        <n v="2267.0"/>
        <n v="2162.0"/>
        <n v="2254.0"/>
        <n v="2085.0"/>
        <n v="1697.0"/>
        <n v="1688.0"/>
        <n v="2381.0"/>
        <n v="1947.0"/>
        <n v="2046.0"/>
        <n v="2494.0"/>
        <n v="2297.0"/>
        <n v="2461.0"/>
        <n v="2548.0"/>
        <n v="2159.0"/>
        <n v="2688.0"/>
        <n v="1131.0"/>
        <n v="1248.0"/>
        <n v="1472.0"/>
        <n v="1447.0"/>
        <n v="1440.0"/>
        <n v="1548.0"/>
        <n v="1601.0"/>
        <n v="1647.0"/>
        <n v="1416.0"/>
        <n v="1479.0"/>
        <n v="1427.0"/>
        <n v="1500.0"/>
        <n v="1497.0"/>
        <n v="1734.0"/>
        <n v="1568.0"/>
        <n v="1586.0"/>
        <n v="1620.0"/>
        <n v="1748.0"/>
        <n v="1554.0"/>
        <n v="1025.0"/>
        <n v="919.0"/>
        <n v="1136.0"/>
        <n v="1146.0"/>
        <n v="1341.0"/>
        <n v="1295.0"/>
        <n v="1171.0"/>
        <n v="1144.0"/>
        <n v="936.0"/>
        <n v="987.0"/>
        <n v="1520.0"/>
        <n v="1474.0"/>
        <n v="1373.0"/>
        <n v="1668.0"/>
        <n v="1733.0"/>
        <n v="2073.0"/>
        <n v="1864.0"/>
        <n v="1591.0"/>
        <n v="1774.0"/>
        <n v="1716.0"/>
        <n v="1139.0"/>
        <n v="1413.0"/>
        <n v="1588.0"/>
        <n v="1919.0"/>
        <n v="1767.0"/>
        <n v="887.0"/>
        <n v="912.0"/>
        <n v="913.0"/>
        <n v="994.0"/>
        <n v="1051.0"/>
        <n v="879.0"/>
        <n v="914.0"/>
        <n v="841.0"/>
        <n v="897.0"/>
        <n v="863.0"/>
        <n v="1392.0"/>
        <n v="1437.0"/>
        <n v="1260.0"/>
        <n v="1488.0"/>
        <n v="1330.0"/>
        <n v="1669.0"/>
        <n v="1501.0"/>
        <n v="1609.0"/>
        <n v="1590.0"/>
        <n v="1476.0"/>
        <n v="1305.0"/>
        <n v="1435.0"/>
        <n v="1481.0"/>
        <n v="1766.0"/>
        <n v="1598.0"/>
        <n v="1411.0"/>
        <n v="1268.0"/>
        <n v="382.0"/>
        <n v="409.0"/>
        <n v="468.0"/>
        <n v="508.0"/>
        <n v="477.0"/>
        <n v="531.0"/>
        <n v="602.0"/>
        <n v="426.0"/>
        <n v="559.0"/>
        <n v="397.0"/>
        <n v="408.0"/>
        <n v="459.0"/>
        <n v="688.0"/>
        <n v="593.0"/>
        <n v="637.0"/>
        <n v="613.0"/>
        <n v="659.0"/>
        <n v="628.0"/>
        <n v="820.0"/>
        <n v="751.0"/>
        <n v="727.0"/>
        <n v="690.0"/>
        <n v="927.0"/>
        <n v="355.0"/>
        <n v="283.0"/>
        <n v="334.0"/>
        <n v="340.0"/>
        <n v="333.0"/>
        <n v="410.0"/>
        <n v="482.0"/>
        <n v="386.0"/>
        <n v="411.0"/>
        <n v="374.0"/>
        <n v="402.0"/>
        <n v="493.0"/>
        <n v="452.0"/>
        <n v="509.0"/>
        <n v="522.0"/>
        <n v="439.0"/>
        <n v="661.0"/>
        <n v="642.0"/>
        <n v="582.0"/>
        <n v="476.0"/>
        <n v="454.0"/>
        <n v="515.0"/>
        <n v="404.0"/>
        <n v="420.0"/>
        <n v="398.0"/>
        <n v="416.0"/>
        <n v="407.0"/>
        <n v="456.0"/>
        <n v="451.0"/>
        <n v="351.0"/>
        <n v="368.0"/>
        <n v="424.0"/>
        <n v="362.0"/>
        <n v="377.0"/>
        <n v="381.0"/>
        <n v="312.0"/>
        <n v="434.0"/>
        <n v="552.0"/>
        <n v="506.0"/>
        <n v="601.0"/>
        <n v="534.0"/>
        <n v="600.0"/>
        <n v="529.0"/>
        <n v="577.0"/>
        <n v="500.0"/>
        <n v="471.0"/>
        <n v="545.0"/>
        <n v="549.0"/>
        <n v="449.0"/>
        <n v="743.0"/>
        <n v="648.0"/>
        <n v="706.0"/>
        <n v="587.0"/>
        <n v="705.0"/>
        <n v="657.0"/>
        <n v="543.0"/>
        <n v="772.0"/>
        <n v="695.0"/>
        <n v="578.0"/>
        <n v="614.0"/>
        <n v="786.0"/>
        <n v="752.0"/>
        <n v="699.0"/>
        <n v="804.0"/>
        <n v="722.0"/>
        <n v="592.0"/>
        <n v="768.0"/>
        <n v="273.0"/>
        <n v="313.0"/>
        <n v="302.0"/>
        <n v="360.0"/>
        <n v="463.0"/>
        <n v="356.0"/>
        <n v="347.0"/>
        <n v="321.0"/>
        <n v="331.0"/>
        <n v="329.0"/>
        <n v="363.0"/>
        <n v="444.0"/>
        <n v="524.0"/>
        <n v="623.0"/>
        <n v="494.0"/>
        <n v="551.0"/>
        <n v="527.0"/>
        <n v="415.0"/>
        <n v="379.0"/>
        <n v="435.0"/>
        <n v="393.0"/>
        <n v="520.0"/>
        <n v="473.0"/>
        <n v="571.0"/>
        <n v="489.0"/>
        <n v="446.0"/>
        <n v="739.0"/>
        <n v="579.0"/>
        <n v="655.0"/>
        <n v="789.0"/>
        <n v="872.0"/>
        <n v="922.0"/>
        <n v="940.0"/>
        <n v="907.0"/>
        <n v="956.0"/>
        <n v="822.0"/>
        <n v="649.0"/>
        <n v="673.0"/>
        <n v="726.0"/>
        <n v="782.0"/>
        <n v="792.0"/>
        <n v="801.0"/>
        <n v="720.0"/>
        <n v="867.0"/>
        <n v="941.0"/>
        <n v="969.0"/>
        <n v="753.0"/>
        <n v="797.0"/>
        <n v="666.0"/>
        <n v="677.0"/>
        <n v="638.0"/>
        <n v="763.0"/>
        <n v="721.0"/>
        <n v="715.0"/>
        <n v="846.0"/>
        <n v="729.0"/>
        <n v="762.0"/>
        <n v="769.0"/>
        <n v="662.0"/>
        <n v="438.0"/>
        <n v="521.0"/>
        <n v="502.0"/>
        <n v="537.0"/>
        <n v="619.0"/>
        <n v="562.0"/>
        <n v="445.0"/>
        <n v="406.0"/>
        <n v="266.0"/>
        <n v="230.0"/>
        <n v="308.0"/>
        <n v="306.0"/>
        <n v="310.0"/>
        <n v="219.0"/>
        <n v="277.0"/>
        <n v="261.0"/>
        <n v="242.0"/>
        <n v="548.0"/>
        <n v="519.0"/>
        <n v="567.0"/>
        <n v="650.0"/>
        <n v="591.0"/>
        <n v="497.0"/>
        <n v="483.0"/>
        <n v="395.0"/>
        <n v="492.0"/>
        <n v="421.0"/>
        <n v="450.0"/>
        <n v="428.0"/>
        <n v="723.0"/>
        <n v="818.0"/>
        <n v="939.0"/>
        <n v="1028.0"/>
        <n v="836.0"/>
        <n v="862.0"/>
        <n v="895.0"/>
        <n v="993.0"/>
        <n v="972.0"/>
        <n v="967.0"/>
        <n v="491.0"/>
        <n v="570.0"/>
        <n v="588.0"/>
        <n v="733.0"/>
        <n v="691.0"/>
        <n v="687.0"/>
        <n v="316.0"/>
        <n v="263.0"/>
        <n v="361.0"/>
        <n v="403.0"/>
        <n v="344.0"/>
        <n v="417.0"/>
        <n v="315.0"/>
        <n v="389.0"/>
        <n v="314.0"/>
        <n v="676.0"/>
        <n v="581.0"/>
        <n v="824.0"/>
        <n v="747.0"/>
        <n v="829.0"/>
        <n v="886.0"/>
        <n v="771.0"/>
        <n v="335.0"/>
        <n v="383.0"/>
        <n v="364.0"/>
        <n v="467.0"/>
        <n v="499.0"/>
        <n v="422.0"/>
        <n v="370.0"/>
        <n v="392.0"/>
        <n v="432.0"/>
        <n v="369.0"/>
        <n v="388.0"/>
        <n v="387.0"/>
        <n v="453.0"/>
        <n v="490.0"/>
        <n v="564.0"/>
        <n v="568.0"/>
        <n v="533.0"/>
        <n v="574.0"/>
        <n v="885.0"/>
        <n v="681.0"/>
        <n v="765.0"/>
        <n v="905.0"/>
        <n v="1098.0"/>
        <n v="951.0"/>
        <n v="1266.0"/>
        <n v="1065.0"/>
        <n v="952.0"/>
        <n v="976.0"/>
        <n v="901.0"/>
        <n v="787.0"/>
        <n v="295.0"/>
        <n v="292.0"/>
        <n v="348.0"/>
        <n v="258.0"/>
        <n v="336.0"/>
        <n v="288.0"/>
        <n v="342.0"/>
        <n v="299.0"/>
        <n v="270.0"/>
        <n v="294.0"/>
        <n v="674.0"/>
        <n v="873.0"/>
        <n v="810.0"/>
        <n v="816.0"/>
        <n v="869.0"/>
        <n v="773.0"/>
        <n v="671.0"/>
        <n v="710.0"/>
        <n v="469.0"/>
        <n v="437.0"/>
        <n v="464.0"/>
        <n v="547.0"/>
        <n v="554.0"/>
        <n v="536.0"/>
        <n v="470.0"/>
        <n v="443.0"/>
        <n v="580.0"/>
        <n v="615.0"/>
        <n v="669.0"/>
        <n v="544.0"/>
        <n v="618.0"/>
        <n v="523.0"/>
        <n v="576.0"/>
        <n v="462.0"/>
        <n v="555.0"/>
        <n v="461.0"/>
        <n v="412.0"/>
        <n v="475.0"/>
        <n v="319.0"/>
        <n v="485.0"/>
        <n v="584.0"/>
        <n v="589.0"/>
        <n v="505.0"/>
        <n v="546.0"/>
        <n v="599.0"/>
        <n v="832.0"/>
        <n v="1080.0"/>
        <n v="944.0"/>
        <n v="1008.0"/>
        <n v="900.0"/>
        <n v="631.0"/>
        <n v="728.0"/>
        <n v="678.0"/>
        <n v="845.0"/>
        <n v="826.0"/>
        <n v="899.0"/>
        <n v="866.0"/>
        <n v="838.0"/>
        <n v="458.0"/>
        <n v="400.0"/>
        <n v="488.0"/>
        <n v="538.0"/>
        <n v="414.0"/>
        <n v="88.0"/>
        <n v="121.0"/>
        <n v="129.0"/>
        <n v="151.0"/>
        <n v="146.0"/>
        <n v="105.0"/>
        <n v="115.0"/>
        <n v="157.0"/>
        <n v="137.0"/>
        <n v="102.0"/>
        <n v="117.0"/>
        <n v="96.0"/>
        <n v="339.0"/>
        <n v="259.0"/>
        <n v="290.0"/>
        <n v="239.0"/>
        <n v="304.0"/>
        <n v="371.0"/>
        <n v="286.0"/>
        <n v="281.0"/>
        <n v="349.0"/>
        <n v="240.0"/>
        <n v="243.0"/>
        <n v="235.0"/>
        <n v="251.0"/>
        <n v="187.0"/>
        <n v="156.0"/>
        <n v="220.0"/>
        <n v="196.0"/>
        <n v="193.0"/>
        <n v="179.0"/>
        <n v="264.0"/>
        <n v="169.0"/>
        <n v="201.0"/>
        <n v="178.0"/>
        <n v="149.0"/>
        <n v="215.0"/>
        <n v="204.0"/>
        <n v="166.0"/>
        <n v="234.0"/>
        <n v="217.0"/>
        <n v="225.0"/>
        <n v="191.0"/>
        <n v="223.0"/>
        <n v="214.0"/>
        <n v="101.0"/>
        <n v="108.0"/>
        <n v="134.0"/>
        <n v="112.0"/>
        <n v="119.0"/>
        <n v="145.0"/>
        <n v="165.0"/>
        <n v="158.0"/>
        <n v="189.0"/>
        <n v="210.0"/>
        <n v="237.0"/>
        <n v="216.0"/>
        <n v="257.0"/>
        <n v="272.0"/>
        <n v="296.0"/>
        <n v="253.0"/>
        <n v="213.0"/>
        <n v="118.0"/>
        <n v="111.0"/>
        <n v="172.0"/>
        <n v="141.0"/>
        <n v="132.0"/>
        <n v="207.0"/>
        <n v="198.0"/>
        <n v="180.0"/>
        <n v="182.0"/>
        <n v="133.0"/>
        <n v="47.0"/>
        <n v="65.0"/>
        <n v="93.0"/>
        <n v="69.0"/>
        <n v="72.0"/>
        <n v="74.0"/>
        <n v="109.0"/>
        <n v="73.0"/>
        <n v="61.0"/>
        <n v="83.0"/>
        <n v="85.0"/>
        <n v="86.0"/>
        <n v="94.0"/>
        <n v="106.0"/>
        <n v="84.0"/>
        <n v="98.0"/>
        <n v="282.0"/>
        <n v="248.0"/>
        <n v="231.0"/>
        <n v="247.0"/>
        <n v="365.0"/>
        <n v="238.0"/>
        <n v="236.0"/>
        <n v="278.0"/>
        <n v="367.0"/>
        <n v="271.0"/>
        <n v="233.0"/>
        <n v="275.0"/>
        <n v="50.0"/>
        <n v="75.0"/>
        <n v="62.0"/>
        <n v="77.0"/>
        <n v="80.0"/>
        <n v="64.0"/>
        <n v="58.0"/>
        <n v="63.0"/>
        <n v="244.0"/>
        <n v="262.0"/>
        <n v="279.0"/>
        <n v="246.0"/>
        <n v="229.0"/>
        <n v="291.0"/>
        <n v="200.0"/>
        <n v="183.0"/>
        <n v="160.0"/>
        <n v="205.0"/>
        <n v="185.0"/>
        <n v="181.0"/>
        <n v="159.0"/>
        <n v="140.0"/>
        <n v="120.0"/>
        <n v="153.0"/>
        <n v="228.0"/>
        <n v="202.0"/>
        <n v="171.0"/>
        <n v="123.0"/>
        <n v="116.0"/>
        <n v="317.0"/>
        <n v="177.0"/>
        <n v="328.0"/>
        <n v="322.0"/>
        <n v="376.0"/>
        <n v="332.0"/>
        <n v="457.0"/>
        <n v="324.0"/>
        <n v="375.0"/>
        <n v="255.0"/>
        <n v="241.0"/>
        <n v="274.0"/>
        <n v="442.0"/>
        <n v="481.0"/>
        <n v="561.0"/>
        <n v="745.0"/>
        <n v="734.0"/>
        <n v="646.0"/>
        <n v="170.0"/>
        <n v="221.0"/>
        <n v="167.0"/>
        <n v="131.0"/>
        <n v="184.0"/>
        <n v="289.0"/>
        <n v="448.0"/>
        <n v="418.0"/>
        <n v="429.0"/>
        <n v="307.0"/>
        <n v="501.0"/>
        <n v="391.0"/>
        <n v="325.0"/>
        <n v="338.0"/>
        <n v="565.0"/>
        <n v="525.0"/>
        <n v="358.0"/>
        <n v="267.0"/>
        <n v="630.0"/>
        <n v="269.0"/>
        <n v="208.0"/>
        <n v="472.0"/>
        <n v="326.0"/>
        <n v="441.0"/>
        <n v="209.0"/>
        <n v="287.0"/>
      </sharedItems>
    </cacheField>
    <cacheField name="Error" numFmtId="0">
      <sharedItems containsSemiMixedTypes="0" containsString="0" containsNumber="1" containsInteger="1">
        <n v="-10.0"/>
        <n v="-118.0"/>
        <n v="-109.0"/>
        <n v="-229.0"/>
        <n v="-289.0"/>
        <n v="50.0"/>
        <n v="64.0"/>
        <n v="-82.0"/>
        <n v="-272.0"/>
        <n v="-159.0"/>
        <n v="56.0"/>
        <n v="-260.0"/>
        <n v="-59.0"/>
        <n v="-52.0"/>
        <n v="-199.0"/>
        <n v="48.0"/>
        <n v="-163.0"/>
        <n v="-37.0"/>
        <n v="-212.0"/>
        <n v="-233.0"/>
        <n v="-169.0"/>
        <n v="-143.0"/>
        <n v="-72.0"/>
        <n v="38.0"/>
        <n v="97.0"/>
        <n v="-45.0"/>
        <n v="5.0"/>
        <n v="99.0"/>
        <n v="11.0"/>
        <n v="133.0"/>
        <n v="-67.0"/>
        <n v="-91.0"/>
        <n v="-19.0"/>
        <n v="-54.0"/>
        <n v="77.0"/>
        <n v="-99.0"/>
        <n v="-13.0"/>
        <n v="-114.0"/>
        <n v="-68.0"/>
        <n v="-11.0"/>
        <n v="-47.0"/>
        <n v="4.0"/>
        <n v="-26.0"/>
        <n v="-46.0"/>
        <n v="-90.0"/>
        <n v="-8.0"/>
        <n v="-120.0"/>
        <n v="-34.0"/>
        <n v="55.0"/>
        <n v="1.0"/>
        <n v="-18.0"/>
        <n v="-145.0"/>
        <n v="-124.0"/>
        <n v="-136.0"/>
        <n v="52.0"/>
        <n v="-73.0"/>
        <n v="-107.0"/>
        <n v="-79.0"/>
        <n v="-101.0"/>
        <n v="75.0"/>
        <n v="-135.0"/>
        <n v="-113.0"/>
        <n v="-177.0"/>
        <n v="-100.0"/>
        <n v="-129.0"/>
        <n v="-48.0"/>
        <n v="-98.0"/>
        <n v="-33.0"/>
        <n v="-137.0"/>
        <n v="-104.0"/>
        <n v="-148.0"/>
        <n v="-29.0"/>
        <n v="-57.0"/>
        <n v="-32.0"/>
        <n v="-23.0"/>
        <n v="23.0"/>
        <n v="-85.0"/>
        <n v="98.0"/>
        <n v="-3.0"/>
        <n v="74.0"/>
        <n v="163.0"/>
        <n v="88.0"/>
        <n v="0.0"/>
        <n v="110.0"/>
        <n v="155.0"/>
        <n v="140.0"/>
        <n v="160.0"/>
        <n v="35.0"/>
        <n v="-69.0"/>
        <n v="-55.0"/>
        <n v="-112.0"/>
        <n v="-49.0"/>
        <n v="-75.0"/>
        <n v="-51.0"/>
        <n v="-35.0"/>
        <n v="-41.0"/>
        <n v="129.0"/>
        <n v="-42.0"/>
        <n v="-4.0"/>
        <n v="244.0"/>
        <n v="60.0"/>
        <n v="209.0"/>
        <n v="246.0"/>
        <n v="227.0"/>
        <n v="40.0"/>
        <n v="100.0"/>
        <n v="158.0"/>
        <n v="43.0"/>
        <n v="109.0"/>
        <n v="-5.0"/>
        <n v="164.0"/>
        <n v="46.0"/>
        <n v="81.0"/>
        <n v="112.0"/>
        <n v="-150.0"/>
        <n v="7.0"/>
        <n v="-158.0"/>
        <n v="-127.0"/>
        <n v="-141.0"/>
        <n v="-172.0"/>
        <n v="-200.0"/>
        <n v="-182.0"/>
        <n v="-31.0"/>
        <n v="-189.0"/>
        <n v="-161.0"/>
        <n v="-175.0"/>
        <n v="-27.0"/>
        <n v="-63.0"/>
        <n v="-15.0"/>
        <n v="-185.0"/>
        <n v="-194.0"/>
        <n v="-97.0"/>
        <n v="-108.0"/>
        <n v="-62.0"/>
        <n v="-262.0"/>
        <n v="15.0"/>
        <n v="-235.0"/>
        <n v="-53.0"/>
        <n v="-70.0"/>
        <n v="-87.0"/>
        <n v="-89.0"/>
        <n v="67.0"/>
        <n v="-173.0"/>
        <n v="-191.0"/>
        <n v="-2.0"/>
        <n v="-243.0"/>
        <n v="-144.0"/>
        <n v="2.0"/>
        <n v="61.0"/>
        <n v="8.0"/>
        <n v="12.0"/>
        <n v="-92.0"/>
        <n v="-134.0"/>
        <n v="39.0"/>
        <n v="59.0"/>
        <n v="19.0"/>
        <n v="87.0"/>
        <n v="120.0"/>
        <n v="92.0"/>
        <n v="76.0"/>
        <n v="93.0"/>
        <n v="207.0"/>
        <n v="16.0"/>
        <n v="141.0"/>
        <n v="168.0"/>
        <n v="22.0"/>
        <n v="84.0"/>
        <n v="70.0"/>
        <n v="181.0"/>
        <n v="211.0"/>
        <n v="-74.0"/>
        <n v="-204.0"/>
        <n v="32.0"/>
        <n v="-181.0"/>
        <n v="-154.0"/>
        <n v="-39.0"/>
        <n v="-22.0"/>
        <n v="45.0"/>
        <n v="-110.0"/>
        <n v="275.0"/>
        <n v="117.0"/>
        <n v="199.0"/>
        <n v="-9.0"/>
        <n v="235.0"/>
        <n v="193.0"/>
        <n v="73.0"/>
        <n v="223.0"/>
        <n v="-44.0"/>
        <n v="174.0"/>
        <n v="9.0"/>
        <n v="-116.0"/>
        <n v="53.0"/>
        <n v="-71.0"/>
        <n v="71.0"/>
        <n v="89.0"/>
        <n v="166.0"/>
        <n v="131.0"/>
        <n v="132.0"/>
        <n v="-12.0"/>
        <n v="49.0"/>
        <n v="14.0"/>
        <n v="94.0"/>
        <n v="26.0"/>
        <n v="62.0"/>
        <n v="-25.0"/>
        <n v="102.0"/>
        <n v="-105.0"/>
        <n v="-123.0"/>
        <n v="-132.0"/>
        <n v="47.0"/>
        <n v="-188.0"/>
        <n v="31.0"/>
        <n v="-20.0"/>
        <n v="153.0"/>
        <n v="13.0"/>
        <n v="-38.0"/>
        <n v="145.0"/>
        <n v="41.0"/>
        <n v="42.0"/>
        <n v="80.0"/>
        <n v="63.0"/>
        <n v="128.0"/>
        <n v="101.0"/>
        <n v="104.0"/>
        <n v="105.0"/>
        <n v="108.0"/>
        <n v="57.0"/>
        <n v="-7.0"/>
        <n v="-80.0"/>
        <n v="54.0"/>
        <n v="51.0"/>
        <n v="-94.0"/>
        <n v="-115.0"/>
        <n v="-122.0"/>
        <n v="-151.0"/>
        <n v="-14.0"/>
        <n v="21.0"/>
        <n v="-146.0"/>
        <n v="-66.0"/>
        <n v="-86.0"/>
        <n v="96.0"/>
        <n v="179.0"/>
        <n v="-95.0"/>
        <n v="-61.0"/>
        <n v="126.0"/>
        <n v="69.0"/>
        <n v="-81.0"/>
        <n v="-103.0"/>
        <n v="30.0"/>
        <n v="66.0"/>
        <n v="-126.0"/>
        <n v="146.0"/>
        <n v="-30.0"/>
        <n v="170.0"/>
        <n v="-138.0"/>
        <n v="-152.0"/>
        <n v="-147.0"/>
        <n v="-157.0"/>
        <n v="34.0"/>
        <n v="-56.0"/>
        <n v="28.0"/>
        <n v="27.0"/>
        <n v="72.0"/>
        <n v="68.0"/>
        <n v="-77.0"/>
        <n v="-196.0"/>
        <n v="-187.0"/>
        <n v="-21.0"/>
        <n v="-121.0"/>
        <n v="-131.0"/>
        <n v="-174.0"/>
        <n v="-43.0"/>
        <n v="18.0"/>
        <n v="-60.0"/>
        <n v="-119.0"/>
        <n v="24.0"/>
        <n v="3.0"/>
        <n v="-168.0"/>
        <n v="36.0"/>
        <n v="-171.0"/>
        <n v="-24.0"/>
        <n v="-102.0"/>
        <n v="-50.0"/>
        <n v="123.0"/>
        <n v="83.0"/>
        <n v="-78.0"/>
        <n v="33.0"/>
        <n v="-58.0"/>
        <n v="79.0"/>
        <n v="134.0"/>
        <n v="17.0"/>
        <n v="143.0"/>
        <n v="-36.0"/>
        <n v="-40.0"/>
        <n v="-64.0"/>
        <n v="-28.0"/>
        <n v="20.0"/>
        <n v="58.0"/>
        <n v="29.0"/>
        <n v="44.0"/>
        <n v="91.0"/>
        <n v="65.0"/>
        <n v="-16.0"/>
        <n v="-130.0"/>
        <n v="37.0"/>
        <n v="-1.0"/>
        <n v="6.0"/>
        <n v="78.0"/>
        <n v="150.0"/>
        <n v="-65.0"/>
        <n v="124.0"/>
        <n v="107.0"/>
        <n v="-17.0"/>
        <n v="135.0"/>
        <n v="-83.0"/>
        <n v="-106.0"/>
        <n v="113.0"/>
        <n v="85.0"/>
        <n v="-6.0"/>
        <n v="-139.0"/>
        <n v="-149.0"/>
        <n v="25.0"/>
        <n v="-84.0"/>
        <n v="142.0"/>
        <n v="114.0"/>
        <n v="90.0"/>
        <n v="10.0"/>
        <n v="-88.0"/>
        <n v="119.0"/>
        <n v="115.0"/>
        <n v="-111.0"/>
        <n v="-96.0"/>
        <n v="-76.0"/>
        <n v="103.0"/>
        <n v="-166.0"/>
        <n v="-178.0"/>
        <n v="86.0"/>
        <n v="-128.0"/>
        <n v="171.0"/>
        <n v="-205.0"/>
        <n v="173.0"/>
        <n v="82.0"/>
        <n v="-176.0"/>
        <n v="118.0"/>
        <n v="-125.0"/>
      </sharedItems>
    </cacheField>
    <cacheField name="Absolute Error" numFmtId="0">
      <sharedItems containsSemiMixedTypes="0" containsString="0" containsNumber="1" containsInteger="1">
        <n v="10.0"/>
        <n v="118.0"/>
        <n v="109.0"/>
        <n v="229.0"/>
        <n v="289.0"/>
        <n v="50.0"/>
        <n v="64.0"/>
        <n v="82.0"/>
        <n v="272.0"/>
        <n v="159.0"/>
        <n v="56.0"/>
        <n v="260.0"/>
        <n v="59.0"/>
        <n v="52.0"/>
        <n v="199.0"/>
        <n v="48.0"/>
        <n v="163.0"/>
        <n v="37.0"/>
        <n v="212.0"/>
        <n v="233.0"/>
        <n v="169.0"/>
        <n v="143.0"/>
        <n v="72.0"/>
        <n v="38.0"/>
        <n v="97.0"/>
        <n v="45.0"/>
        <n v="5.0"/>
        <n v="99.0"/>
        <n v="11.0"/>
        <n v="133.0"/>
        <n v="67.0"/>
        <n v="91.0"/>
        <n v="19.0"/>
        <n v="54.0"/>
        <n v="77.0"/>
        <n v="13.0"/>
        <n v="114.0"/>
        <n v="68.0"/>
        <n v="47.0"/>
        <n v="4.0"/>
        <n v="26.0"/>
        <n v="46.0"/>
        <n v="90.0"/>
        <n v="8.0"/>
        <n v="120.0"/>
        <n v="34.0"/>
        <n v="55.0"/>
        <n v="1.0"/>
        <n v="18.0"/>
        <n v="145.0"/>
        <n v="124.0"/>
        <n v="136.0"/>
        <n v="73.0"/>
        <n v="107.0"/>
        <n v="79.0"/>
        <n v="101.0"/>
        <n v="75.0"/>
        <n v="135.0"/>
        <n v="113.0"/>
        <n v="177.0"/>
        <n v="100.0"/>
        <n v="129.0"/>
        <n v="98.0"/>
        <n v="33.0"/>
        <n v="137.0"/>
        <n v="104.0"/>
        <n v="148.0"/>
        <n v="29.0"/>
        <n v="57.0"/>
        <n v="32.0"/>
        <n v="23.0"/>
        <n v="85.0"/>
        <n v="3.0"/>
        <n v="74.0"/>
        <n v="88.0"/>
        <n v="0.0"/>
        <n v="110.0"/>
        <n v="155.0"/>
        <n v="140.0"/>
        <n v="160.0"/>
        <n v="35.0"/>
        <n v="69.0"/>
        <n v="112.0"/>
        <n v="49.0"/>
        <n v="51.0"/>
        <n v="41.0"/>
        <n v="42.0"/>
        <n v="244.0"/>
        <n v="60.0"/>
        <n v="209.0"/>
        <n v="246.0"/>
        <n v="227.0"/>
        <n v="40.0"/>
        <n v="158.0"/>
        <n v="43.0"/>
        <n v="164.0"/>
        <n v="81.0"/>
        <n v="150.0"/>
        <n v="7.0"/>
        <n v="127.0"/>
        <n v="141.0"/>
        <n v="172.0"/>
        <n v="200.0"/>
        <n v="182.0"/>
        <n v="31.0"/>
        <n v="189.0"/>
        <n v="161.0"/>
        <n v="175.0"/>
        <n v="27.0"/>
        <n v="63.0"/>
        <n v="15.0"/>
        <n v="185.0"/>
        <n v="194.0"/>
        <n v="108.0"/>
        <n v="62.0"/>
        <n v="262.0"/>
        <n v="235.0"/>
        <n v="53.0"/>
        <n v="70.0"/>
        <n v="87.0"/>
        <n v="89.0"/>
        <n v="173.0"/>
        <n v="191.0"/>
        <n v="2.0"/>
        <n v="243.0"/>
        <n v="144.0"/>
        <n v="61.0"/>
        <n v="12.0"/>
        <n v="92.0"/>
        <n v="134.0"/>
        <n v="39.0"/>
        <n v="76.0"/>
        <n v="93.0"/>
        <n v="207.0"/>
        <n v="16.0"/>
        <n v="168.0"/>
        <n v="22.0"/>
        <n v="84.0"/>
        <n v="181.0"/>
        <n v="211.0"/>
        <n v="204.0"/>
        <n v="154.0"/>
        <n v="275.0"/>
        <n v="117.0"/>
        <n v="9.0"/>
        <n v="193.0"/>
        <n v="223.0"/>
        <n v="44.0"/>
        <n v="174.0"/>
        <n v="116.0"/>
        <n v="71.0"/>
        <n v="166.0"/>
        <n v="131.0"/>
        <n v="132.0"/>
        <n v="14.0"/>
        <n v="94.0"/>
        <n v="25.0"/>
        <n v="102.0"/>
        <n v="105.0"/>
        <n v="123.0"/>
        <n v="188.0"/>
        <n v="20.0"/>
        <n v="153.0"/>
        <n v="80.0"/>
        <n v="128.0"/>
        <n v="115.0"/>
        <n v="122.0"/>
        <n v="151.0"/>
        <n v="21.0"/>
        <n v="146.0"/>
        <n v="66.0"/>
        <n v="86.0"/>
        <n v="96.0"/>
        <n v="179.0"/>
        <n v="95.0"/>
        <n v="126.0"/>
        <n v="103.0"/>
        <n v="30.0"/>
        <n v="170.0"/>
        <n v="138.0"/>
        <n v="152.0"/>
        <n v="147.0"/>
        <n v="157.0"/>
        <n v="28.0"/>
        <n v="196.0"/>
        <n v="187.0"/>
        <n v="121.0"/>
        <n v="119.0"/>
        <n v="24.0"/>
        <n v="36.0"/>
        <n v="171.0"/>
        <n v="83.0"/>
        <n v="78.0"/>
        <n v="58.0"/>
        <n v="17.0"/>
        <n v="65.0"/>
        <n v="130.0"/>
        <n v="6.0"/>
        <n v="106.0"/>
        <n v="139.0"/>
        <n v="149.0"/>
        <n v="142.0"/>
        <n v="111.0"/>
        <n v="178.0"/>
        <n v="205.0"/>
        <n v="176.0"/>
        <n v="125.0"/>
      </sharedItems>
    </cacheField>
    <cacheField name="Percentage Error" numFmtId="10">
      <sharedItems containsSemiMixedTypes="0" containsString="0" containsNumber="1">
        <n v="0.0057110222729868645"/>
        <n v="0.0587356893977103"/>
        <n v="0.05653526970954357"/>
        <n v="0.10746128578132333"/>
        <n v="0.12107247591118558"/>
        <n v="0.019849146486701073"/>
        <n v="0.0283311199645861"/>
        <n v="0.03239826155669696"/>
        <n v="0.12645281264528127"/>
        <n v="0.06619483763530391"/>
        <n v="0.02572347266881029"/>
        <n v="0.11581291759465479"/>
        <n v="0.035329341317365266"/>
        <n v="0.03335471456061578"/>
        <n v="0.11966325917017438"/>
        <n v="0.024072216649949848"/>
        <n v="0.08174523570712136"/>
        <n v="0.021082621082621083"/>
        <n v="0.11058946270213876"/>
        <n v="0.12493297587131368"/>
        <n v="0.08876050420168068"/>
        <n v="0.08047270680922904"/>
        <n v="0.04260355029585799"/>
        <n v="0.02490170380078637"/>
        <n v="0.06769016050244243"/>
        <n v="0.028284098051539912"/>
        <n v="0.0030883261272390363"/>
        <n v="0.054696132596685085"/>
        <n v="0.006100942872989462"/>
        <n v="0.07413600891861762"/>
        <n v="0.03623580313683072"/>
        <n v="0.05390995260663507"/>
        <n v="0.01255783212161269"/>
        <n v="0.03333333333333333"/>
        <n v="0.04878048780487805"/>
        <n v="0.04624624624624624"/>
        <n v="0.0917516218721038"/>
        <n v="0.010655737704918032"/>
        <n v="0.10035211267605634"/>
        <n v="0.058823529411764705"/>
        <n v="0.008566978193146417"/>
        <n v="0.035127055306427506"/>
        <n v="0.0034482758620689655"/>
        <n v="0.020553359683794466"/>
        <n v="0.031144781144781145"/>
        <n v="0.041742286751361164"/>
        <n v="0.09316770186335403"/>
        <n v="0.008592910848549946"/>
        <n v="0.0881057268722467"/>
        <n v="0.024320457796852647"/>
        <n v="0.040530582166543844"/>
        <n v="6.523157208088715E-4"/>
        <n v="0.010682492581602374"/>
        <n v="0.09360877985797289"/>
        <n v="0.07510599636583888"/>
        <n v="0.031269543464665414"/>
        <n v="0.09066666666666667"/>
        <n v="0.03468979319546364"/>
        <n v="0.006839945280437756"/>
        <n v="0.05395417590539542"/>
        <n v="0.07514044943820225"/>
        <n v="0.056630824372759854"/>
        <n v="0.05844907407407408"/>
        <n v="0.0024140012070006035"/>
        <n v="0.04493708807669263"/>
        <n v="0.06998444790046657"/>
        <n v="0.06222466960352423"/>
        <n v="0.10448642266824085"/>
        <n v="0.030127462340672075"/>
        <n v="0.06565988181221274"/>
        <n v="0.07198660714285714"/>
        <n v="0.03183023872679045"/>
        <n v="0.09219190968955786"/>
        <n v="0.07129963898916968"/>
        <n v="0.028670721112076455"/>
        <n v="0.11590524534686972"/>
        <n v="0.07938931297709924"/>
        <n v="0.12416107382550336"/>
        <n v="0.02162565249813572"/>
        <n v="0.04888507718696398"/>
        <n v="0.027303754266211604"/>
        <n v="0.019896193771626297"/>
        <n v="0.01910299003322259"/>
        <n v="0.07548845470692718"/>
        <n v="0.0805921052631579"/>
        <n v="0.002553191489361702"/>
        <n v="0.052296819787985865"/>
        <n v="0.1290577988915281"/>
        <n v="0.05910006715916723"/>
        <n v="0.0"/>
        <n v="0.08172362555720654"/>
        <n v="0.1069703243616287"/>
        <n v="0.11164274322169059"/>
        <n v="0.11949215832710978"/>
        <n v="0.07650695517774343"/>
        <n v="0.029093931837073983"/>
        <n v="0.08224076281287247"/>
        <n v="0.059203444564047365"/>
        <n v="0.10218978102189781"/>
        <n v="0.05130890052356021"/>
        <n v="0.07170172084130019"/>
        <n v="0.015459723352318959"/>
        <n v="0.043220338983050846"/>
        <n v="0.028688524590163935"/>
        <n v="0.036444444444444446"/>
        <n v="0.052752293577981654"/>
        <n v="0.060675883256528416"/>
        <n v="0.027467811158798282"/>
        <n v="0.08537392455327597"/>
        <n v="0.026217228464419477"/>
        <n v="0.002206287920573635"/>
        <n v="0.12248995983935743"/>
        <n v="0.029140359397765905"/>
        <n v="0.11834654586636467"/>
        <n v="0.12417970721857648"/>
        <n v="0.10612435717625059"/>
        <n v="0.03128491620111732"/>
        <n v="0.020232675771370764"/>
        <n v="0.05858230814294083"/>
        <n v="0.08119218910585817"/>
        <n v="0.10808926080892609"/>
        <n v="0.03223388305847077"/>
        <n v="0.06816760475297061"/>
        <n v="0.06198608475648324"/>
        <n v="0.0033090668431502318"/>
        <n v="0.07959305804907241"/>
        <n v="0.09590643274853801"/>
        <n v="0.030065359477124184"/>
        <n v="0.0533596837944664"/>
        <n v="0.07708189951823813"/>
        <n v="0.0034106412005457027"/>
        <n v="0.035211267605633804"/>
        <n v="0.10541110330288124"/>
        <n v="0.004129793510324484"/>
        <n v="0.09007981755986318"/>
        <n v="0.08167202572347267"/>
        <n v="0.0781163434903047"/>
        <n v="0.08700050581689428"/>
        <n v="0.05714285714285714"/>
        <n v="0.09935419771485346"/>
        <n v="0.018570624648283626"/>
        <n v="0.1087866108786611"/>
        <n v="0.015768056968463885"/>
        <n v="0.06650093225605966"/>
        <n v="0.023661270236612703"/>
        <n v="0.01907216494845361"/>
        <n v="0.1024390243902439"/>
        <n v="0.08999441028507546"/>
        <n v="0.016145307769929364"/>
        <n v="0.08544921875"/>
        <n v="0.012328767123287671"/>
        <n v="0.03242408646423057"/>
        <n v="0.09075535512965051"/>
        <n v="0.008797653958944282"/>
        <n v="0.11154345006485085"/>
        <n v="0.12374581939799331"/>
        <n v="0.11479289940828402"/>
        <n v="0.05446378439079169"/>
        <n v="0.06112054329371817"/>
        <n v="0.03192584963954686"/>
        <n v="0.12288930581613508"/>
        <n v="0.030028598665395614"/>
        <n v="0.006717420510523959"/>
        <n v="0.10398230088495575"/>
        <n v="0.027518172377985463"/>
        <n v="0.03676470588235294"/>
        <n v="0.03810775295663601"/>
        <n v="0.02717391304347826"/>
        <n v="0.04847494553376906"/>
        <n v="0.034823284823284825"/>
        <n v="0.09931113662456946"/>
        <n v="0.10742407199100112"/>
        <n v="0.0010822510822510823"/>
        <n v="0.059134107708553325"/>
        <n v="0.10648553900087643"/>
        <n v="0.06504065040650407"/>
        <n v="0.001088139281828074"/>
        <n v="0.030123456790123456"/>
        <n v="0.018536585365853658"/>
        <n v="0.08165487207403375"/>
        <n v="0.0065252854812398045"/>
        <n v="0.0702054794520548"/>
        <n v="0.028106508875739646"/>
        <n v="0.07193732193732194"/>
        <n v="0.008016032064128256"/>
        <n v="0.049575070821529746"/>
        <n v="0.031027795733678087"/>
        <n v="0.0627130197682345"/>
        <n v="0.10151515151515152"/>
        <n v="0.02506426735218509"/>
        <n v="0.04297159504734159"/>
        <n v="0.03337969401947149"/>
        <n v="0.021965317919075144"/>
        <n v="0.08959835221421215"/>
        <n v="0.09596928982725528"/>
        <n v="0.04904051172707889"/>
        <n v="0.05699481865284974"/>
        <n v="0.11173184357541899"/>
        <n v="0.012014787430683918"/>
        <n v="0.0913604766633565"/>
        <n v="0.014191106906338695"/>
        <n v="0.08128342245989305"/>
        <n v="0.10097719869706841"/>
        <n v="0.0175609756097561"/>
        <n v="0.10792492179353493"/>
        <n v="0.007644529383659818"/>
        <n v="0.06444241316270567"/>
        <n v="0.08320950965824665"/>
        <n v="0.0300187617260788"/>
        <n v="0.009704455227172474"/>
        <n v="0.03925233644859813"/>
        <n v="0.034482758620689655"/>
        <n v="0.0885518590998043"/>
        <n v="0.10144230769230769"/>
        <n v="0.07889546351084813"/>
        <n v="0.03380281690140845"/>
        <n v="0.001949317738791423"/>
        <n v="0.041549691184727684"/>
        <n v="0.12363636363636364"/>
        <n v="0.016563146997929608"/>
        <n v="0.018739352640545145"/>
        <n v="0.10372492836676218"/>
        <n v="0.08310847274689692"/>
        <n v="0.01852731591448931"/>
        <n v="0.012318029115341545"/>
        <n v="0.02292409577177789"/>
        <n v="0.06719609040928527"/>
        <n v="0.07644882860665844"/>
        <n v="0.026243849097867686"/>
        <n v="0.017634854771784232"/>
        <n v="0.12755102040816327"/>
        <n v="0.05566127497621313"/>
        <n v="0.09974937343358396"/>
        <n v="0.004118993135011442"/>
        <n v="0.10146804835924007"/>
        <n v="0.08600713012477719"/>
        <n v="0.03679435483870968"/>
        <n v="0.10819990295972828"/>
        <n v="0.02609727164887307"/>
        <n v="0.09948542024013722"/>
        <n v="0.009230769230769232"/>
        <n v="0.02213666987487969"/>
        <n v="0.10060711188204684"/>
        <n v="0.0886654478976234"/>
        <n v="0.09809027777777778"/>
        <n v="0.025179856115107913"/>
        <n v="0.03598099117447386"/>
        <n v="0.005649717514124294"/>
        <n v="0.04985955056179775"/>
        <n v="0.0779320987654321"/>
        <n v="0.06641221374045801"/>
        <n v="0.030115830115830116"/>
        <n v="0.012448132780082987"/>
        <n v="0.05286671630677588"/>
        <n v="0.05255878284923928"/>
        <n v="0.05805609915198956"/>
        <n v="0.10971579643093192"/>
        <n v="0.008580858085808581"/>
        <n v="0.09059474412171507"/>
        <n v="0.0825515947467167"/>
        <n v="0.008504606661941885"/>
        <n v="0.026041666666666668"/>
        <n v="0.0325149303251493"/>
        <n v="0.11404728789986092"/>
        <n v="0.01317027281279398"/>
        <n v="0.08752327746741155"/>
        <n v="0.026622296173044926"/>
        <n v="0.028112449799196786"/>
        <n v="0.02290748898678414"/>
        <n v="0.02825278810408922"/>
        <n v="0.05081967213114754"/>
        <n v="0.038560411311053984"/>
        <n v="0.03035878564857406"/>
        <n v="0.028624192059095107"/>
        <n v="0.02109704641350211"/>
        <n v="0.09323583180987204"/>
        <n v="0.07936507936507936"/>
        <n v="0.0830860534124629"/>
        <n v="0.08194536975349767"/>
        <n v="0.09078860172299535"/>
        <n v="0.07737397420867527"/>
        <n v="0.03002309468822171"/>
        <n v="0.10402509147935181"/>
        <n v="0.009921671018276762"/>
        <n v="0.029559748427672956"/>
        <n v="0.10026666666666667"/>
        <n v="0.018833535844471446"/>
        <n v="0.08076275939427931"/>
        <n v="0.012642225031605562"/>
        <n v="0.03497813866333541"/>
        <n v="0.04007177033492823"/>
        <n v="0.02903225806451613"/>
        <n v="0.085"/>
        <n v="0.045285029302077784"/>
        <n v="0.006578947368421052"/>
        <n v="0.033541785105173395"/>
        <n v="0.021146355036171398"/>
        <n v="0.08415554265815438"/>
        <n v="0.03555268261150614"/>
        <n v="0.0044728434504792336"/>
        <n v="0.048693586698337295"/>
        <n v="0.05483028720626632"/>
        <n v="0.08898776418242492"/>
        <n v="0.009857612267250822"/>
        <n v="0.028047464940668825"/>
        <n v="0.06098741529525654"/>
        <n v="0.12685827552031714"/>
        <n v="0.007684918347742555"/>
        <n v="0.005549389567147614"/>
        <n v="0.004314994606256742"/>
        <n v="0.015350877192982455"/>
        <n v="0.11259754738015608"/>
        <n v="0.03092006033182504"/>
        <n v="0.06295399515738499"/>
        <n v="0.06666666666666667"/>
        <n v="0.0756832515767344"/>
        <n v="0.035337879727216366"/>
        <n v="0.03452243958573072"/>
        <n v="0.004214328717639976"/>
        <n v="0.04747774480712166"/>
        <n v="0.03339517625231911"/>
        <n v="0.03772189349112426"/>
        <n v="0.032693674484719264"/>
        <n v="0.06633733239237827"/>
        <n v="0.035147392290249435"/>
        <n v="0.05826271186440678"/>
        <n v="0.04297994269340974"/>
        <n v="0.02133850630455868"/>
        <n v="0.10818438381937912"/>
        <n v="0.11172161172161173"/>
        <n v="0.03330689928628073"/>
        <n v="0.11353383458646617"/>
        <n v="0.010736196319018405"/>
        <n v="0.019087136929460582"/>
        <n v="0.09727339719970524"/>
        <n v="0.017485428809325562"/>
        <n v="0.022235225277940317"/>
        <n v="0.017836593785960874"/>
        <n v="0.08021978021978023"/>
        <n v="0.009074410163339383"/>
        <n v="0.05974025974025974"/>
        <n v="0.001092896174863388"/>
        <n v="0.0038910505836575876"/>
        <n v="0.010660980810234541"/>
        <n v="0.04021937842778794"/>
        <n v="0.053515868077162417"/>
        <n v="0.02524916943521595"/>
        <n v="0.07401924500370097"/>
        <n v="0.050156739811912224"/>
        <n v="0.028080229226361032"/>
        <n v="0.04903943377148635"/>
        <n v="0.09293873312564901"/>
        <n v="0.02607436021245775"/>
        <n v="0.010482180293501049"/>
        <n v="0.04510921177587844"/>
        <n v="0.07168458781362007"/>
        <n v="0.0046248715313463515"/>
        <n v="0.03248136315228967"/>
        <n v="0.029907558455682437"/>
        <n v="0.07753846153846154"/>
        <n v="0.035168195718654434"/>
        <n v="0.03063787041687594"/>
        <n v="0.03988183161004431"/>
        <n v="0.05129482071713148"/>
        <n v="0.013026487190620929"/>
        <n v="0.006120527306967985"/>
        <n v="0.0558100791336943"/>
        <n v="9.25925925925926E-4"/>
        <n v="0.07711078574914593"/>
        <n v="0.0687529634898056"/>
        <n v="0.03133025166923472"/>
        <n v="0.03268945022288262"/>
        <n v="0.06911684037301152"/>
        <n v="0.06378258458125347"/>
        <n v="0.06532438478747203"/>
        <n v="0.04230201672405312"/>
        <n v="0.050580046403712296"/>
        <n v="0.026921576277799453"/>
        <n v="0.043713572023313906"/>
        <n v="0.01952191235059761"/>
        <n v="0.04750402576489533"/>
        <n v="0.016354208216992423"/>
        <n v="0.013704888076747372"/>
        <n v="0.06751389992057188"/>
        <n v="0.07446808510638298"/>
        <n v="0.08793774319066149"/>
        <n v="0.030303030303030304"/>
        <n v="0.03589021815622801"/>
        <n v="0.017651052274270197"/>
        <n v="0.10835913312693499"/>
        <n v="0.08185053380782918"/>
        <n v="0.08670849971477468"/>
        <n v="0.0967741935483871"/>
        <n v="0.030035335689045935"/>
        <n v="0.09980928162746344"/>
        <n v="0.07677902621722846"/>
        <n v="0.010402219140083218"/>
        <n v="0.023192360163710776"/>
        <n v="0.06320400500625782"/>
        <n v="0.02598936798582398"/>
        <n v="0.03317535545023697"/>
        <n v="0.012259194395796848"/>
        <n v="0.05703657780533168"/>
        <n v="0.010309278350515464"/>
        <n v="0.03322475570032573"/>
        <n v="0.017587939698492462"/>
        <n v="0.02401874633860574"/>
        <n v="0.04486785494775661"/>
        <n v="0.027054108216432865"/>
        <n v="0.06415478615071284"/>
        <n v="0.05175292153589316"/>
        <n v="0.042606516290726815"/>
        <n v="0.04189435336976321"/>
        <n v="0.05673758865248227"/>
        <n v="0.016704631738800303"/>
        <n v="0.04796747967479675"/>
        <n v="0.06319702602230483"/>
        <n v="0.06653225806451613"/>
        <n v="0.07601184600197433"/>
        <n v="0.012307692307692308"/>
        <n v="0.030612244897959183"/>
        <n v="0.001358695652173913"/>
        <n v="0.12492033142128744"/>
        <n v="0.07487520798668885"/>
        <n v="0.07226980728051392"/>
        <n v="0.09497206703910614"/>
        <n v="0.00527831094049904"/>
        <n v="0.04"/>
        <n v="0.05476673427991886"/>
        <n v="0.052976190476190475"/>
        <n v="0.0116991643454039"/>
        <n v="0.0658682634730539"/>
        <n v="0.1031496062992126"/>
        <n v="0.12724434035909446"/>
        <n v="0.11175337186897881"/>
        <n v="0.08661926308985132"/>
        <n v="0.026364193746167996"/>
        <n v="0.09706045479755962"/>
        <n v="0.108125"/>
        <n v="0.009468700683850605"/>
        <n v="0.034403669724770644"/>
        <n v="0.10201793721973094"/>
        <n v="0.0630965005302227"/>
        <n v="0.04711425206124853"/>
        <n v="0.03691639522258415"/>
        <n v="0.010845986984815618"/>
        <n v="0.004362050163576881"/>
        <n v="0.06423982869379015"/>
        <n v="0.040169133192389"/>
        <n v="0.055220883534136546"/>
        <n v="0.0669683257918552"/>
        <n v="0.04560260586319218"/>
        <n v="0.044571428571428574"/>
        <n v="0.02937576499388005"/>
        <n v="0.003355704697986577"/>
        <n v="0.0335946248600224"/>
        <n v="0.017642907551164433"/>
        <n v="0.056467498358502954"/>
        <n v="0.11764705882352941"/>
        <n v="0.024793388429752067"/>
        <n v="0.11392405063291139"/>
        <n v="0.0012195121951219512"/>
        <n v="0.0036784025223331584"/>
        <n v="0.04683038263849229"/>
        <n v="0.023176550783912748"/>
        <n v="0.027794561933534745"/>
        <n v="0.014732965009208104"/>
        <n v="0.02646868947708199"/>
        <n v="0.0777292576419214"/>
        <n v="0.07418181818181818"/>
        <n v="0.06801736613603473"/>
        <n v="0.010844306738962044"/>
        <n v="0.07479045776918117"/>
        <n v="0.032658393207054215"/>
        <n v="0.07486305538648813"/>
        <n v="0.004361370716510903"/>
        <n v="0.055076310550763105"/>
        <n v="0.05219985085756898"/>
        <n v="0.01521216973578863"/>
        <n v="0.061224489795918366"/>
        <n v="0.017994858611825194"/>
        <n v="0.0199501246882793"/>
        <n v="0.01079913606911447"/>
        <n v="0.06947368421052631"/>
        <n v="0.022540983606557378"/>
        <n v="0.025688073394495414"/>
        <n v="0.14666666666666667"/>
        <n v="0.09554140127388536"/>
        <n v="0.1292929292929293"/>
        <n v="0.148068669527897"/>
        <n v="0.12446351931330472"/>
        <n v="0.006493506493506494"/>
        <n v="0.1297208538587849"/>
        <n v="0.025951557093425604"/>
        <n v="0.028963414634146343"/>
        <n v="0.004918032786885246"/>
        <n v="0.01199400299850075"/>
        <n v="0.08853410740203194"/>
        <n v="0.19533527696793002"/>
        <n v="0.014864864864864866"/>
        <n v="0.034528552456839307"/>
        <n v="0.135678391959799"/>
        <n v="0.02526002971768202"/>
        <n v="0.18239795918367346"/>
        <n v="0.07250755287009064"/>
        <n v="0.030821917808219176"/>
        <n v="0.08241758241758242"/>
        <n v="0.11458333333333333"/>
        <n v="0.03757225433526012"/>
        <n v="0.13573407202216067"/>
        <n v="0.08803611738148984"/>
        <n v="0.08530805687203792"/>
        <n v="0.0275"/>
        <n v="0.07196029776674938"/>
        <n v="0.0049504950495049506"/>
        <n v="0.11791383219954649"/>
        <n v="0.040339702760084924"/>
        <n v="0.02676864244741874"/>
        <n v="0.06313645621181263"/>
        <n v="0.16221374045801526"/>
        <n v="0.08538587848932677"/>
        <n v="0.04220779220779221"/>
        <n v="0.03482587064676617"/>
        <n v="0.07751937984496124"/>
        <n v="0.12355212355212356"/>
        <n v="0.05156537753222836"/>
        <n v="0.1349036402569593"/>
        <n v="0.1780821917808219"/>
        <n v="0.033766233766233764"/>
        <n v="0.050505050505050504"/>
        <n v="0.04092071611253197"/>
        <n v="0.09879518072289156"/>
        <n v="0.1388888888888889"/>
        <n v="0.07387862796833773"/>
        <n v="0.02127659574468085"/>
        <n v="0.15846994535519127"/>
        <n v="0.08708708708708708"/>
        <n v="0.14242424242424243"/>
        <n v="0.01871657754010695"/>
        <n v="0.11864406779661017"/>
        <n v="0.05240174672489083"/>
        <n v="0.14760914760914762"/>
        <n v="0.09936575052854123"/>
        <n v="0.0835117773019272"/>
        <n v="0.08876811594202899"/>
        <n v="0.08979591836734693"/>
        <n v="0.1320754716981132"/>
        <n v="0.1279317697228145"/>
        <n v="0.18724279835390947"/>
        <n v="0.08932461873638345"/>
        <n v="0.07100591715976332"/>
        <n v="0.10547667342799188"/>
        <n v="0.030425963488843813"/>
        <n v="0.058319039451114926"/>
        <n v="0.17765567765567766"/>
        <n v="0.09587020648967552"/>
        <n v="0.06628242074927954"/>
        <n v="0.0221606648199446"/>
        <n v="0.18131101813110181"/>
        <n v="0.08914728682170543"/>
        <n v="0.12516644474034622"/>
        <n v="0.15288611544461778"/>
        <n v="0.08274894810659186"/>
        <n v="0.05623100303951368"/>
        <n v="0.05400696864111498"/>
        <n v="0.08239700374531835"/>
        <n v="0.03912363067292645"/>
        <n v="0.0759493670886076"/>
        <n v="0.16272189349112426"/>
        <n v="0.07122507122507123"/>
        <n v="0.03851444291609354"/>
        <n v="0.0024937655860349127"/>
        <n v="0.051248357424441525"/>
        <n v="0.1111111111111111"/>
        <n v="0.009602194787379973"/>
        <n v="0.17272727272727273"/>
        <n v="0.06567164179104477"/>
        <n v="0.19680851063829788"/>
        <n v="0.11330049261083744"/>
        <n v="0.08941176470588236"/>
        <n v="0.06149732620320856"/>
        <n v="0.02197802197802198"/>
        <n v="0.12594458438287154"/>
        <n v="0.13243243243243244"/>
        <n v="0.006006006006006006"/>
        <n v="0.02373887240356083"/>
        <n v="0.09337349397590361"/>
        <n v="0.016018306636155607"/>
        <n v="0.07818930041152264"/>
        <n v="0.1078838174273859"/>
        <n v="0.13272727272727272"/>
        <n v="0.04219409282700422"/>
        <n v="0.0288659793814433"/>
        <n v="0.08464566929133858"/>
        <n v="0.06680161943319839"/>
        <n v="0.002403846153846154"/>
        <n v="0.0757238307349666"/>
        <n v="0.09112709832134293"/>
        <n v="0.14173228346456693"/>
        <n v="0.13815789473684212"/>
        <n v="0.13537117903930132"/>
        <n v="0.1182033096926714"/>
        <n v="0.033542976939203356"/>
        <n v="0.06134969325153374"/>
        <n v="0.13293650793650794"/>
        <n v="0.08425720620842572"/>
        <n v="0.006787330316742082"/>
        <n v="0.013636363636363636"/>
        <n v="0.0851063829787234"/>
        <n v="0.11800302571860817"/>
        <n v="0.08240887480190175"/>
        <n v="0.05346820809248555"/>
        <n v="0.035452322738386305"/>
        <n v="0.13618677042801555"/>
        <n v="0.048919226393629126"/>
        <n v="0.11506524317912219"/>
        <n v="0.19815059445178335"/>
        <n v="0.09507445589919816"/>
        <n v="0.10335570469798658"/>
        <n v="0.09103641456582633"/>
        <n v="0.13682432432432431"/>
        <n v="0.1033434650455927"/>
        <n v="0.06976744186046512"/>
        <n v="0.0012642225031605564"/>
        <n v="0.0037593984962406013"/>
        <n v="0.14183551847437426"/>
        <n v="0.030915576694411414"/>
        <n v="0.08786127167630058"/>
        <n v="0.1467455621301775"/>
        <n v="0.043202033036848796"/>
        <n v="0.011166253101736972"/>
        <n v="0.08009153318077804"/>
        <n v="0.047697368421052634"/>
        <n v="0.19141323792486584"/>
        <n v="0.1552901023890785"/>
        <n v="0.025954198473282442"/>
        <n v="0.03247631935047361"/>
        <n v="0.006983240223463687"/>
        <n v="0.05172413793103448"/>
        <n v="0.189873417721519"/>
        <n v="0.0962406015037594"/>
        <n v="0.13056379821958458"/>
        <n v="0.19040247678018576"/>
        <n v="0.02932551319648094"/>
        <n v="0.046052631578947366"/>
        <n v="0.1377952755905512"/>
        <n v="0.00392156862745098"/>
        <n v="0.10481099656357389"/>
        <n v="0.06691449814126393"/>
        <n v="0.07413793103448275"/>
        <n v="0.054514480408858604"/>
        <n v="0.04745762711864407"/>
        <n v="0.013816925734024179"/>
        <n v="0.1713221601489758"/>
        <n v="0.1438474870017331"/>
        <n v="0.1646090534979424"/>
        <n v="0.07857142857142857"/>
        <n v="0.05"/>
        <n v="0.1575091575091575"/>
        <n v="0.08875739644970414"/>
        <n v="0.08450704225352113"/>
        <n v="0.057926829268292686"/>
        <n v="0.04672897196261682"/>
        <n v="0.1918819188191882"/>
        <n v="0.010948905109489052"/>
        <n v="0.17406143344709898"/>
        <n v="0.0873015873015873"/>
        <n v="0.0019230769230769232"/>
        <n v="0.08842443729903537"/>
        <n v="0.12737642585551331"/>
        <n v="0.05817610062893082"/>
        <n v="0.1664050235478807"/>
        <n v="0.07538461538461538"/>
        <n v="0.08153078202995008"/>
        <n v="0.09636363636363636"/>
        <n v="0.02028397565922921"/>
        <n v="0.05894308943089431"/>
        <n v="0.010025062656641603"/>
        <n v="0.08133971291866028"/>
        <n v="0.08393285371702638"/>
        <n v="0.0603448275862069"/>
        <n v="0.05823293172690763"/>
        <n v="0.06352459016393443"/>
        <n v="0.01680672268907563"/>
        <n v="0.08278867102396514"/>
        <n v="0.0625"/>
        <n v="0.06407766990291262"/>
        <n v="0.10975609756097561"/>
        <n v="0.11203319502074689"/>
        <n v="0.04178674351585014"/>
        <n v="0.1354292623941959"/>
        <n v="0.12349726775956284"/>
        <n v="0.11814345991561181"/>
        <n v="0.007009345794392523"/>
        <n v="0.007760532150776054"/>
        <n v="0.014301430143014302"/>
        <n v="0.06430868167202572"/>
        <n v="0.09582863585118377"/>
        <n v="0.11791907514450867"/>
        <n v="0.13578680203045684"/>
        <n v="0.08"/>
        <n v="0.17060810810810811"/>
        <n v="0.12442396313364056"/>
        <n v="0.10909090909090909"/>
        <n v="0.03880983182406209"/>
        <n v="0.017711171662125342"/>
        <n v="0.11899038461538461"/>
        <n v="0.163659793814433"/>
        <n v="0.0041841004184100415"/>
        <n v="0.04293628808864266"/>
        <n v="0.1681087762669963"/>
        <n v="0.12372448979591837"/>
        <n v="0.06462585034013606"/>
        <n v="0.024691358024691357"/>
        <n v="0.1806853582554517"/>
        <n v="0.026954177897574125"/>
        <n v="0.05774278215223097"/>
        <n v="0.1291139240506329"/>
        <n v="0.09162303664921466"/>
        <n v="0.01488833746898263"/>
        <n v="0.08959537572254335"/>
        <n v="0.07466666666666667"/>
        <n v="0.06284153005464481"/>
        <n v="0.13736263736263737"/>
        <n v="0.0196078431372549"/>
        <n v="0.19305555555555556"/>
        <n v="0.01904761904761905"/>
        <n v="0.1313953488372093"/>
        <n v="0.022093023255813953"/>
        <n v="0.09592061742006615"/>
        <n v="0.00851581508515815"/>
        <n v="0.07211538461538461"/>
        <n v="0.006818181818181818"/>
        <n v="0.16195652173913044"/>
        <n v="0.017173051519154558"/>
        <n v="0.04285714285714286"/>
        <n v="0.058011049723756904"/>
        <n v="0.010869565217391304"/>
        <n v="0.06510416666666667"/>
        <n v="0.1280193236714976"/>
        <n v="0.09955752212389381"/>
        <n v="0.04042553191489362"/>
        <n v="0.0824295010845987"/>
        <n v="0.016867469879518072"/>
        <n v="0.10628019323671498"/>
        <n v="0.011547344110854504"/>
        <n v="0.012371134020618556"/>
        <n v="0.13636363636363635"/>
        <n v="0.05614973262032086"/>
        <n v="0.015463917525773196"/>
        <n v="0.046357615894039736"/>
        <n v="0.08666666666666667"/>
        <n v="0.08158995815899582"/>
        <n v="0.10653753026634383"/>
        <n v="0.12672811059907835"/>
        <n v="0.10077519379844961"/>
        <n v="0.034666666666666665"/>
        <n v="0.07575757575757576"/>
        <n v="0.07223476297968397"/>
        <n v="0.01948051948051948"/>
        <n v="0.018036072144288578"/>
        <n v="0.031683168316831684"/>
        <n v="0.03754266211604096"/>
        <n v="0.14054927302100162"/>
        <n v="0.11560693641618497"/>
        <n v="0.04990757855822551"/>
        <n v="0.02895752895752896"/>
        <n v="0.040697674418604654"/>
        <n v="0.08097928436911488"/>
        <n v="0.08588957055214724"/>
        <n v="0.12692307692307692"/>
        <n v="0.0989399293286219"/>
        <n v="0.04636459430979979"/>
        <n v="0.04174573055028463"/>
        <n v="0.11038353601496725"/>
        <n v="0.12633451957295375"/>
        <n v="0.030977734753146177"/>
        <n v="0.0976303317535545"/>
        <n v="0.030784508440913606"/>
        <n v="0.04046858359957402"/>
        <n v="0.14270152505446623"/>
        <n v="0.0498220640569395"/>
        <n v="0.0034129692832764505"/>
        <n v="0.08100558659217877"/>
        <n v="0.07407407407407407"/>
        <n v="0.1757188498402556"/>
        <n v="0.0718232044198895"/>
        <n v="0.011363636363636364"/>
        <n v="0.1165644171779141"/>
        <n v="0.045871559633027525"/>
        <n v="0.0911854103343465"/>
        <n v="0.12903225806451613"/>
        <n v="0.053763440860215055"/>
        <n v="0.13256113256113256"/>
        <n v="0.1482444733420026"/>
        <n v="0.034360189573459717"/>
        <n v="0.03713188220230474"/>
        <n v="0.022754491017964073"/>
        <n v="0.11553273427471117"/>
        <n v="0.09252669039145907"/>
        <n v="0.02644836272040302"/>
        <n v="0.06985294117647059"/>
        <n v="0.1473951715374841"/>
        <n v="0.006993006993006993"/>
        <n v="0.07266982622432859"/>
        <n v="0.03535353535353535"/>
        <n v="0.09836065573770492"/>
        <n v="0.09147609147609148"/>
        <n v="0.13839285714285715"/>
        <n v="0.072"/>
        <n v="0.0018248175182481751"/>
        <n v="0.10666666666666667"/>
        <n v="0.108"/>
        <n v="0.04462474645030426"/>
        <n v="0.03272727272727273"/>
        <n v="0.032490974729241874"/>
        <n v="0.11151079136690648"/>
        <n v="0.026200873362445413"/>
        <n v="0.10505050505050505"/>
        <n v="0.17017543859649123"/>
        <n v="0.0429042904290429"/>
        <n v="0.01652892561983471"/>
        <n v="0.010574018126888218"/>
        <n v="0.16104294478527606"/>
        <n v="0.1365079365079365"/>
        <n v="0.026771653543307086"/>
        <n v="0.1685214626391097"/>
        <n v="0.03411131059245961"/>
        <n v="0.16"/>
        <n v="0.03529411764705882"/>
        <n v="0.14617169373549885"/>
        <n v="0.1326530612244898"/>
        <n v="0.045548654244306416"/>
        <n v="0.013100436681222707"/>
        <n v="0.1294820717131474"/>
        <n v="0.12606837606837606"/>
        <n v="0.11868131868131868"/>
        <n v="0.08240534521158129"/>
        <n v="0.04856512141280353"/>
        <n v="0.07458563535911603"/>
        <n v="0.1307901907356948"/>
        <n v="0.08888888888888889"/>
        <n v="0.113345521023766"/>
        <n v="0.020134228187919462"/>
        <n v="0.02434782608695652"/>
        <n v="0.0032"/>
        <n v="0.09982174688057041"/>
        <n v="0.13274336283185842"/>
        <n v="0.07082630691399663"/>
        <n v="0.017421602787456445"/>
        <n v="0.1291866028708134"/>
        <n v="0.14204545454545456"/>
        <n v="0.006633499170812604"/>
        <n v="0.16368638239339753"/>
        <n v="0.0623342175066313"/>
        <n v="0.03368176538908246"/>
        <n v="0.12382934443288242"/>
        <n v="0.04633620689655173"/>
        <n v="0.004618937644341801"/>
        <n v="0.019342359767891684"/>
        <n v="0.11819116135662898"/>
        <n v="0.1053864168618267"/>
        <n v="0.18867924528301888"/>
        <n v="0.05555555555555555"/>
        <n v="0.023890784982935155"/>
        <n v="0.09077809798270893"/>
        <n v="0.025885558583106268"/>
        <n v="0.0097442143727162"/>
        <n v="0.13230035756853398"/>
        <n v="0.1781818181818182"/>
        <n v="0.03680981595092025"/>
        <n v="0.1510791366906475"/>
        <n v="0.05889281507656066"/>
        <n v="0.014102564102564103"/>
        <n v="0.004640371229698376"/>
        <n v="0.07431551499348109"/>
        <n v="0.01411764705882353"/>
        <n v="0.14786967418546365"/>
        <n v="0.12359550561797752"/>
        <n v="0.10158013544018059"/>
        <n v="0.15203426124197003"/>
        <n v="0.04946236559139785"/>
        <n v="0.015521064301552107"/>
        <n v="0.1338432122370937"/>
        <n v="0.05919661733615222"/>
        <n v="0.0998003992015968"/>
        <n v="0.09210526315789473"/>
        <n v="0.0189873417721519"/>
        <n v="0.2542372881355932"/>
        <n v="0.015748031496062992"/>
        <n v="0.11851851851851852"/>
        <n v="0.13178294573643412"/>
        <n v="0.2446043165467626"/>
        <n v="0.11538461538461539"/>
        <n v="0.06802721088435375"/>
        <n v="0.02142857142857143"/>
        <n v="0.20930232558139536"/>
        <n v="0.064"/>
        <n v="0.1724137931034483"/>
        <n v="0.1853146853146853"/>
        <n v="0.0711743772241993"/>
        <n v="0.11073825503355705"/>
        <n v="0.07829181494661921"/>
        <n v="0.09090909090909091"/>
        <n v="0.011904761904761904"/>
        <n v="0.09937888198757763"/>
        <n v="0.2691131498470948"/>
        <n v="0.13559322033898305"/>
        <n v="0.022508038585209004"/>
        <n v="0.1891025641025641"/>
        <n v="0.06535947712418301"/>
        <n v="0.018115942028985508"/>
        <n v="0.24561403508771928"/>
        <n v="0.22887323943661972"/>
        <n v="0.16905444126074498"/>
        <n v="0.19463087248322147"/>
        <n v="0.15625"/>
        <n v="0.2398753894080997"/>
        <n v="0.21359223300970873"/>
        <n v="0.19795221843003413"/>
        <n v="0.08394160583941605"/>
        <n v="0.1708185053380783"/>
        <n v="0.19170984455958548"/>
        <n v="0.20526315789473684"/>
        <n v="0.22905027932960895"/>
        <n v="0.0425531914893617"/>
        <n v="0.04926108374384237"/>
        <n v="0.21145374449339208"/>
        <n v="0.2571428571428571"/>
        <n v="0.24742268041237114"/>
        <n v="0.011695906432748537"/>
        <n v="0.09183673469387756"/>
        <n v="0.2215909090909091"/>
        <n v="0.16037735849056603"/>
        <n v="0.10869565217391304"/>
        <n v="0.20952380952380953"/>
        <n v="0.021834061135371178"/>
        <n v="0.01809954751131222"/>
        <n v="0.021739130434782608"/>
        <n v="0.13963963963963963"/>
        <n v="0.03879310344827586"/>
        <n v="0.08080808080808081"/>
        <n v="0.06363636363636363"/>
        <n v="0.04854368932038835"/>
        <n v="0.023809523809523808"/>
        <n v="0.18584070796460178"/>
        <n v="0.0743801652892562"/>
        <n v="0.04032258064516129"/>
        <n v="0.058394160583941604"/>
        <n v="0.23728813559322035"/>
        <n v="0.23134328358208955"/>
        <n v="0.025423728813559324"/>
        <n v="0.1791044776119403"/>
        <n v="0.10849056603773585"/>
        <n v="0.08695652173913043"/>
        <n v="0.09701492537313433"/>
        <n v="0.0842911877394636"/>
        <n v="0.05952380952380952"/>
        <n v="0.18796992481203006"/>
        <n v="0.1044776119402985"/>
        <n v="0.14333333333333334"/>
        <n v="0.03816793893129771"/>
        <n v="0.16535433070866143"/>
        <n v="0.05947955390334572"/>
        <n v="0.19924812030075187"/>
        <n v="0.18620689655172415"/>
        <n v="0.1590909090909091"/>
        <n v="0.075"/>
        <n v="0.03424657534246575"/>
        <n v="0.20958083832335328"/>
        <n v="0.14754098360655737"/>
        <n v="0.23214285714285715"/>
        <n v="0.2375"/>
        <n v="0.0650887573964497"/>
        <n v="0.1895424836601307"/>
        <n v="0.17391304347826086"/>
        <n v="0.29850746268656714"/>
        <n v="0.2073170731707317"/>
        <n v="0.17721518987341772"/>
        <n v="0.15853658536585366"/>
        <n v="0.25"/>
        <n v="0.18556701030927836"/>
        <n v="0.019417475728155338"/>
        <n v="0.17777777777777778"/>
        <n v="0.13541666666666666"/>
        <n v="0.18888888888888888"/>
        <n v="0.26506024096385544"/>
        <n v="0.09782608695652174"/>
        <n v="0.08974358974358974"/>
        <n v="0.13253012048192772"/>
        <n v="0.20454545454545456"/>
        <n v="0.22580645161290322"/>
        <n v="0.125"/>
        <n v="0.25252525252525254"/>
        <n v="0.13953488372093023"/>
        <n v="0.13414634146341464"/>
        <n v="0.036585365853658534"/>
        <n v="0.03409090909090909"/>
        <n v="0.07633587786259542"/>
        <n v="0.18421052631578946"/>
        <n v="0.27129337539432175"/>
        <n v="0.02359882005899705"/>
        <n v="0.3022598870056497"/>
        <n v="0.10625"/>
        <n v="0.1873198847262248"/>
        <n v="0.23684210526315788"/>
        <n v="0.09939759036144578"/>
        <n v="0.2916666666666667"/>
        <n v="0.2891566265060241"/>
        <n v="0.23835616438356164"/>
        <n v="0.12418300653594772"/>
        <n v="0.24193548387096775"/>
        <n v="0.16225165562913907"/>
        <n v="0.18387096774193548"/>
        <n v="0.10163934426229508"/>
        <n v="0.20294117647058824"/>
        <n v="0.2459546925566343"/>
        <n v="0.10130718954248366"/>
        <n v="0.10355987055016182"/>
        <n v="0.11929824561403508"/>
        <n v="0.1984732824427481"/>
        <n v="0.05660377358490566"/>
        <n v="0.078125"/>
        <n v="0.19047619047619047"/>
        <n v="0.015873015873015872"/>
        <n v="0.16666666666666666"/>
        <n v="0.0958904109589041"/>
        <n v="0.14864864864864866"/>
        <n v="0.2054794520547945"/>
        <n v="0.19230769230769232"/>
        <n v="0.2125"/>
        <n v="0.18666666666666668"/>
        <n v="0.04721030042918455"/>
        <n v="0.02834008097165992"/>
        <n v="0.0984251968503937"/>
        <n v="0.004081632653061225"/>
        <n v="0.06147540983606557"/>
        <n v="0.07380073800738007"/>
        <n v="0.04861111111111111"/>
        <n v="0.21568627450980393"/>
        <n v="0.07296137339055794"/>
        <n v="0.23109243697478993"/>
        <n v="0.08045977011494253"/>
        <n v="0.011111111111111112"/>
        <n v="0.08021390374331551"/>
        <n v="0.005208333333333333"/>
        <n v="0.11413043478260869"/>
        <n v="0.08121827411167512"/>
        <n v="0.1016949152542373"/>
        <n v="0.16167664670658682"/>
        <n v="0.16230366492146597"/>
        <n v="0.03783783783783784"/>
        <n v="0.037037037037037035"/>
        <n v="0.3597560975609756"/>
        <n v="0.09467455621301775"/>
        <n v="0.29545454545454547"/>
        <n v="0.052083333333333336"/>
        <n v="0.22527472527472528"/>
        <n v="0.22277227722772278"/>
        <n v="0.07547169811320754"/>
        <n v="0.22641509433962265"/>
        <n v="0.05063291139240506"/>
        <n v="0.3409090909090909"/>
        <n v="0.256198347107438"/>
        <n v="0.24803149606299213"/>
        <n v="0.2862903225806452"/>
        <n v="0.40293040293040294"/>
        <n v="0.19205298013245034"/>
        <n v="0.1232876712328767"/>
        <n v="0.15827338129496402"/>
        <n v="0.22875816993464052"/>
        <n v="0.36923076923076925"/>
        <n v="0.07480314960629922"/>
        <n v="0.3438735177865613"/>
        <n v="0.3018292682926829"/>
        <n v="0.12631578947368421"/>
        <n v="0.12098765432098765"/>
        <n v="0.1522248243559719"/>
        <n v="0.13681592039800994"/>
        <n v="0.1561712846347607"/>
        <n v="0.04470588235294118"/>
        <n v="0.2555831265508685"/>
        <n v="0.3325"/>
        <n v="0.14681440443213298"/>
        <n v="0.10497237569060773"/>
        <n v="0.010554089709762533"/>
        <n v="0.29974811083123426"/>
        <n v="0.39429928741092635"/>
        <n v="0.32574031890660593"/>
        <n v="0.0170316301703163"/>
        <n v="0.42482100238663484"/>
        <n v="0.2033096926713948"/>
        <n v="0.35071090047393366"/>
        <n v="0.007246376811594203"/>
        <n v="0.03233830845771144"/>
        <n v="0.34594594594594597"/>
        <n v="0.3475609756097561"/>
        <n v="0.2633832976445396"/>
        <n v="0.20309050772626933"/>
        <n v="0.04020979020979021"/>
        <n v="0.1206581352833638"/>
        <n v="0.02"/>
        <n v="0.2979094076655052"/>
        <n v="0.07109004739336493"/>
        <n v="0.015600624024960999"/>
        <n v="0.06531204644412192"/>
        <n v="0.11379310344827587"/>
        <n v="0.3456998313659359"/>
        <n v="0.24856321839080459"/>
        <n v="0.29239766081871343"/>
        <n v="0.1317365269461078"/>
        <n v="0.21818181818181817"/>
        <n v="0.09876543209876543"/>
        <n v="0.4011627906976744"/>
        <n v="0.0972972972972973"/>
        <n v="0.2640449438202247"/>
        <n v="0.12883435582822086"/>
        <n v="0.049689440993788817"/>
        <n v="0.32947976878612717"/>
        <n v="0.08333333333333333"/>
        <n v="0.2521489971346705"/>
        <n v="0.19623655913978494"/>
        <n v="0.26649746192893403"/>
        <n v="0.10880829015544041"/>
        <n v="0.005249343832020997"/>
        <n v="0.22404371584699453"/>
        <n v="0.3253588516746411"/>
        <n v="0.002398081534772182"/>
        <n v="0.4051724137931034"/>
        <n v="0.0387409200968523"/>
        <n v="0.23255813953488372"/>
        <n v="0.1284153005464481"/>
        <n v="0.022292993630573247"/>
        <n v="0.029940119760479042"/>
        <n v="0.35405405405405405"/>
        <n v="0.22922636103151864"/>
        <n v="0.026246719160104987"/>
        <n v="0.2704714640198511"/>
        <n v="0.25227963525835867"/>
        <n v="0.24624624624624625"/>
        <n v="0.38095238095238093"/>
        <n v="0.07142857142857142"/>
        <n v="0.06962025316455696"/>
        <n v="0.34096692111959287"/>
        <n v="0.2949438202247191"/>
        <n v="0.10501193317422435"/>
        <n v="0.25555555555555554"/>
        <n v="0.18510158013544017"/>
        <n v="0.23382045929018788"/>
        <n v="0.23985239852398524"/>
        <n v="0.3295880149812734"/>
        <n v="0.3657957244655582"/>
        <n v="0.10619469026548672"/>
        <n v="0.3967136150234742"/>
        <n v="0.25748502994011974"/>
        <n v="0.05787781350482315"/>
        <n v="0.042704626334519574"/>
        <n v="0.10437710437710437"/>
        <n v="0.37910447761194027"/>
        <n v="0.34195402298850575"/>
        <n v="0.32575757575757575"/>
        <n v="0.3333333333333333"/>
        <n v="0.1906005221932115"/>
        <n v="0.02976190476190476"/>
        <n v="0.13367609254498714"/>
        <n v="0.37425149700598803"/>
        <n v="0.19607843137254902"/>
      </sharedItems>
    </cacheField>
    <cacheField name="Forecast Accuracy" numFmtId="10">
      <sharedItems containsSemiMixedTypes="0" containsString="0" containsNumber="1">
        <n v="0.9942889777270132"/>
        <n v="0.9412643106022897"/>
        <n v="0.9434647302904564"/>
        <n v="0.8925387142186767"/>
        <n v="0.8789275240888144"/>
        <n v="0.9801508535132989"/>
        <n v="0.9716688800354139"/>
        <n v="0.967601738443303"/>
        <n v="0.8735471873547187"/>
        <n v="0.9338051623646961"/>
        <n v="0.9742765273311897"/>
        <n v="0.8841870824053453"/>
        <n v="0.9646706586826347"/>
        <n v="0.9666452854393842"/>
        <n v="0.8803367408298256"/>
        <n v="0.9759277833500501"/>
        <n v="0.9182547642928787"/>
        <n v="0.978917378917379"/>
        <n v="0.8894105372978612"/>
        <n v="0.8750670241286863"/>
        <n v="0.9112394957983193"/>
        <n v="0.919527293190771"/>
        <n v="0.9573964497041421"/>
        <n v="0.9750982961992136"/>
        <n v="0.9323098394975575"/>
        <n v="0.9717159019484601"/>
        <n v="0.9969116738727609"/>
        <n v="0.945303867403315"/>
        <n v="0.9938990571270105"/>
        <n v="0.9258639910813824"/>
        <n v="0.9637641968631693"/>
        <n v="0.9460900473933649"/>
        <n v="0.9874421678783873"/>
        <n v="0.9666666666666667"/>
        <n v="0.9512195121951219"/>
        <n v="0.9537537537537537"/>
        <n v="0.9082483781278962"/>
        <n v="0.989344262295082"/>
        <n v="0.8996478873239436"/>
        <n v="0.9411764705882353"/>
        <n v="0.9914330218068536"/>
        <n v="0.9648729446935725"/>
        <n v="0.996551724137931"/>
        <n v="0.9794466403162055"/>
        <n v="0.9688552188552189"/>
        <n v="0.9582577132486388"/>
        <n v="0.906832298136646"/>
        <n v="0.99140708915145"/>
        <n v="0.9118942731277533"/>
        <n v="0.9756795422031473"/>
        <n v="0.9594694178334562"/>
        <n v="0.9993476842791911"/>
        <n v="0.9893175074183976"/>
        <n v="0.9063912201420271"/>
        <n v="0.9248940036341611"/>
        <n v="0.9687304565353346"/>
        <n v="0.9093333333333333"/>
        <n v="0.9653102068045364"/>
        <n v="0.9931600547195623"/>
        <n v="0.9460458240946046"/>
        <n v="0.9248595505617978"/>
        <n v="0.9433691756272401"/>
        <n v="0.9415509259259259"/>
        <n v="0.9975859987929994"/>
        <n v="0.9550629119233074"/>
        <n v="0.9300155520995335"/>
        <n v="0.9377753303964758"/>
        <n v="0.8955135773317592"/>
        <n v="0.9698725376593279"/>
        <n v="0.9343401181877873"/>
        <n v="0.9280133928571429"/>
        <n v="0.9681697612732095"/>
        <n v="0.9078080903104422"/>
        <n v="0.9287003610108303"/>
        <n v="0.9713292788879235"/>
        <n v="0.8840947546531303"/>
        <n v="0.9206106870229007"/>
        <n v="0.8758389261744967"/>
        <n v="0.9783743475018642"/>
        <n v="0.951114922813036"/>
        <n v="0.9726962457337884"/>
        <n v="0.9801038062283737"/>
        <n v="0.9808970099667774"/>
        <n v="0.9245115452930728"/>
        <n v="0.9194078947368421"/>
        <n v="0.9974468085106383"/>
        <n v="0.9477031802120142"/>
        <n v="0.8709422011084719"/>
        <n v="0.9408999328408327"/>
        <n v="1.0"/>
        <n v="0.9182763744427934"/>
        <n v="0.8930296756383713"/>
        <n v="0.8883572567783095"/>
        <n v="0.8805078416728902"/>
        <n v="0.9234930448222566"/>
        <n v="0.970906068162926"/>
        <n v="0.9177592371871275"/>
        <n v="0.9407965554359526"/>
        <n v="0.8978102189781022"/>
        <n v="0.9486910994764398"/>
        <n v="0.9282982791586998"/>
        <n v="0.9845402766476811"/>
        <n v="0.9567796610169491"/>
        <n v="0.9713114754098361"/>
        <n v="0.9635555555555555"/>
        <n v="0.9472477064220184"/>
        <n v="0.9393241167434716"/>
        <n v="0.9725321888412017"/>
        <n v="0.914626075446724"/>
        <n v="0.9737827715355806"/>
        <n v="0.9977937120794264"/>
        <n v="0.8775100401606426"/>
        <n v="0.9708596406022341"/>
        <n v="0.8816534541336354"/>
        <n v="0.8758202927814235"/>
        <n v="0.8938756428237494"/>
        <n v="0.9687150837988827"/>
        <n v="0.9797673242286292"/>
        <n v="0.9414176918570591"/>
        <n v="0.9188078108941419"/>
        <n v="0.8919107391910739"/>
        <n v="0.9677661169415293"/>
        <n v="0.9318323952470294"/>
        <n v="0.9380139152435167"/>
        <n v="0.9966909331568498"/>
        <n v="0.9204069419509275"/>
        <n v="0.904093567251462"/>
        <n v="0.9699346405228758"/>
        <n v="0.9466403162055336"/>
        <n v="0.9229181004817619"/>
        <n v="0.9965893587994543"/>
        <n v="0.9647887323943662"/>
        <n v="0.8945888966971187"/>
        <n v="0.9958702064896755"/>
        <n v="0.9099201824401368"/>
        <n v="0.9183279742765273"/>
        <n v="0.9218836565096953"/>
        <n v="0.9129994941831057"/>
        <n v="0.9428571428571428"/>
        <n v="0.9006458022851466"/>
        <n v="0.9814293753517164"/>
        <n v="0.891213389121339"/>
        <n v="0.9842319430315362"/>
        <n v="0.9334990677439403"/>
        <n v="0.9763387297633873"/>
        <n v="0.9809278350515463"/>
        <n v="0.8975609756097561"/>
        <n v="0.9100055897149245"/>
        <n v="0.9838546922300706"/>
        <n v="0.91455078125"/>
        <n v="0.9876712328767123"/>
        <n v="0.9675759135357694"/>
        <n v="0.9092446448703495"/>
        <n v="0.9912023460410557"/>
        <n v="0.8884565499351491"/>
        <n v="0.8762541806020067"/>
        <n v="0.8852071005917159"/>
        <n v="0.9455362156092083"/>
        <n v="0.9388794567062818"/>
        <n v="0.9680741503604532"/>
        <n v="0.8771106941838649"/>
        <n v="0.9699714013346044"/>
        <n v="0.9932825794894761"/>
        <n v="0.8960176991150443"/>
        <n v="0.9724818276220145"/>
        <n v="0.9632352941176471"/>
        <n v="0.961892247043364"/>
        <n v="0.9728260869565217"/>
        <n v="0.9515250544662309"/>
        <n v="0.9651767151767152"/>
        <n v="0.9006888633754305"/>
        <n v="0.8925759280089989"/>
        <n v="0.9989177489177489"/>
        <n v="0.9408658922914467"/>
        <n v="0.8935144609991236"/>
        <n v="0.9349593495934959"/>
        <n v="0.998911860718172"/>
        <n v="0.9698765432098766"/>
        <n v="0.9814634146341463"/>
        <n v="0.9183451279259662"/>
        <n v="0.9934747145187602"/>
        <n v="0.9297945205479452"/>
        <n v="0.9718934911242604"/>
        <n v="0.9280626780626781"/>
        <n v="0.9919839679358717"/>
        <n v="0.9504249291784702"/>
        <n v="0.9689722042663219"/>
        <n v="0.9372869802317655"/>
        <n v="0.8984848484848484"/>
        <n v="0.9749357326478149"/>
        <n v="0.9570284049526584"/>
        <n v="0.9666203059805285"/>
        <n v="0.9780346820809248"/>
        <n v="0.9104016477857878"/>
        <n v="0.9040307101727447"/>
        <n v="0.9509594882729211"/>
        <n v="0.9430051813471503"/>
        <n v="0.888268156424581"/>
        <n v="0.987985212569316"/>
        <n v="0.9086395233366436"/>
        <n v="0.9858088930936613"/>
        <n v="0.9187165775401069"/>
        <n v="0.8990228013029316"/>
        <n v="0.9824390243902439"/>
        <n v="0.892075078206465"/>
        <n v="0.9923554706163402"/>
        <n v="0.9355575868372943"/>
        <n v="0.9167904903417533"/>
        <n v="0.9699812382739212"/>
        <n v="0.9902955447728276"/>
        <n v="0.9607476635514018"/>
        <n v="0.9655172413793104"/>
        <n v="0.9114481409001957"/>
        <n v="0.8985576923076923"/>
        <n v="0.9211045364891519"/>
        <n v="0.9661971830985916"/>
        <n v="0.9980506822612085"/>
        <n v="0.9584503088152723"/>
        <n v="0.8763636363636363"/>
        <n v="0.9834368530020704"/>
        <n v="0.9812606473594548"/>
        <n v="0.8962750716332378"/>
        <n v="0.9168915272531031"/>
        <n v="0.9814726840855107"/>
        <n v="0.9876819708846585"/>
        <n v="0.9770759042282221"/>
        <n v="0.9328039095907147"/>
        <n v="0.9235511713933415"/>
        <n v="0.9737561509021323"/>
        <n v="0.9823651452282157"/>
        <n v="0.8724489795918368"/>
        <n v="0.9443387250237869"/>
        <n v="0.9002506265664161"/>
        <n v="0.9958810068649886"/>
        <n v="0.8985319516407599"/>
        <n v="0.9139928698752228"/>
        <n v="0.9632056451612904"/>
        <n v="0.8918000970402717"/>
        <n v="0.9739027283511269"/>
        <n v="0.9005145797598628"/>
        <n v="0.9907692307692307"/>
        <n v="0.9778633301251203"/>
        <n v="0.8993928881179531"/>
        <n v="0.9113345521023766"/>
        <n v="0.9019097222222222"/>
        <n v="0.9748201438848921"/>
        <n v="0.9640190088255262"/>
        <n v="0.9943502824858758"/>
        <n v="0.9501404494382022"/>
        <n v="0.9220679012345679"/>
        <n v="0.933587786259542"/>
        <n v="0.9698841698841699"/>
        <n v="0.9875518672199171"/>
        <n v="0.9471332836932241"/>
        <n v="0.9474412171507607"/>
        <n v="0.9419439008480104"/>
        <n v="0.8902842035690681"/>
        <n v="0.9914191419141914"/>
        <n v="0.9094052558782849"/>
        <n v="0.9174484052532833"/>
        <n v="0.9914953933380581"/>
        <n v="0.9739583333333334"/>
        <n v="0.9674850696748507"/>
        <n v="0.885952712100139"/>
        <n v="0.9868297271872061"/>
        <n v="0.9124767225325885"/>
        <n v="0.9733777038269551"/>
        <n v="0.9718875502008032"/>
        <n v="0.9770925110132158"/>
        <n v="0.9717472118959107"/>
        <n v="0.9491803278688524"/>
        <n v="0.961439588688946"/>
        <n v="0.9696412143514259"/>
        <n v="0.971375807940905"/>
        <n v="0.9789029535864979"/>
        <n v="0.906764168190128"/>
        <n v="0.9206349206349207"/>
        <n v="0.9169139465875371"/>
        <n v="0.9180546302465024"/>
        <n v="0.9092113982770047"/>
        <n v="0.9226260257913247"/>
        <n v="0.9699769053117783"/>
        <n v="0.8959749085206482"/>
        <n v="0.9900783289817232"/>
        <n v="0.970440251572327"/>
        <n v="0.8997333333333333"/>
        <n v="0.9811664641555286"/>
        <n v="0.9192372406057207"/>
        <n v="0.9873577749683944"/>
        <n v="0.9650218613366646"/>
        <n v="0.9599282296650717"/>
        <n v="0.9709677419354839"/>
        <n v="0.915"/>
        <n v="0.9547149706979222"/>
        <n v="0.993421052631579"/>
        <n v="0.9664582148948266"/>
        <n v="0.9788536449638287"/>
        <n v="0.9158444573418456"/>
        <n v="0.9644473173884939"/>
        <n v="0.9955271565495207"/>
        <n v="0.9513064133016627"/>
        <n v="0.9451697127937336"/>
        <n v="0.9110122358175751"/>
        <n v="0.9901423877327492"/>
        <n v="0.9719525350593312"/>
        <n v="0.9390125847047435"/>
        <n v="0.8731417244796829"/>
        <n v="0.9923150816522575"/>
        <n v="0.9944506104328524"/>
        <n v="0.9956850053937433"/>
        <n v="0.9846491228070176"/>
        <n v="0.887402452619844"/>
        <n v="0.969079939668175"/>
        <n v="0.937046004842615"/>
        <n v="0.9333333333333333"/>
        <n v="0.9243167484232656"/>
        <n v="0.9646621202727836"/>
        <n v="0.9654775604142692"/>
        <n v="0.9957856712823601"/>
        <n v="0.9525222551928784"/>
        <n v="0.9666048237476809"/>
        <n v="0.9622781065088757"/>
        <n v="0.9673063255152807"/>
        <n v="0.9336626676076217"/>
        <n v="0.9648526077097506"/>
        <n v="0.9417372881355932"/>
        <n v="0.9570200573065902"/>
        <n v="0.9786614936954413"/>
        <n v="0.8918156161806209"/>
        <n v="0.8882783882783882"/>
        <n v="0.9666931007137193"/>
        <n v="0.8864661654135338"/>
        <n v="0.9892638036809815"/>
        <n v="0.9809128630705394"/>
        <n v="0.9027266028002947"/>
        <n v="0.9825145711906744"/>
        <n v="0.9777647747220597"/>
        <n v="0.9821634062140391"/>
        <n v="0.9197802197802197"/>
        <n v="0.9909255898366606"/>
        <n v="0.9402597402597402"/>
        <n v="0.9989071038251366"/>
        <n v="0.9961089494163424"/>
        <n v="0.9893390191897654"/>
        <n v="0.9597806215722121"/>
        <n v="0.9464841319228375"/>
        <n v="0.9747508305647841"/>
        <n v="0.9259807549962991"/>
        <n v="0.9498432601880877"/>
        <n v="0.971919770773639"/>
        <n v="0.9509605662285137"/>
        <n v="0.907061266874351"/>
        <n v="0.9739256397875422"/>
        <n v="0.989517819706499"/>
        <n v="0.9548907882241215"/>
        <n v="0.9283154121863799"/>
        <n v="0.9953751284686536"/>
        <n v="0.9675186368477103"/>
        <n v="0.9700924415443175"/>
        <n v="0.9224615384615384"/>
        <n v="0.9648318042813455"/>
        <n v="0.9693621295831241"/>
        <n v="0.9601181683899557"/>
        <n v="0.9487051792828686"/>
        <n v="0.9869735128093791"/>
        <n v="0.993879472693032"/>
        <n v="0.9441899208663057"/>
        <n v="0.9990740740740741"/>
        <n v="0.922889214250854"/>
        <n v="0.9312470365101944"/>
        <n v="0.9686697483307652"/>
        <n v="0.9673105497771174"/>
        <n v="0.9308831596269884"/>
        <n v="0.9362174154187466"/>
        <n v="0.934675615212528"/>
        <n v="0.9576979832759469"/>
        <n v="0.9494199535962877"/>
        <n v="0.9730784237222005"/>
        <n v="0.9562864279766861"/>
        <n v="0.9804780876494024"/>
        <n v="0.9524959742351047"/>
        <n v="0.9836457917830076"/>
        <n v="0.9862951119232526"/>
        <n v="0.9324861000794281"/>
        <n v="0.925531914893617"/>
        <n v="0.9120622568093385"/>
        <n v="0.9696969696969697"/>
        <n v="0.9641097818437719"/>
        <n v="0.9823489477257298"/>
        <n v="0.891640866873065"/>
        <n v="0.9181494661921709"/>
        <n v="0.9132915002852253"/>
        <n v="0.9032258064516129"/>
        <n v="0.9699646643109541"/>
        <n v="0.9001907183725366"/>
        <n v="0.9232209737827716"/>
        <n v="0.9895977808599168"/>
        <n v="0.9768076398362893"/>
        <n v="0.9367959949937422"/>
        <n v="0.974010632014176"/>
        <n v="0.966824644549763"/>
        <n v="0.9877408056042032"/>
        <n v="0.9429634221946683"/>
        <n v="0.9896907216494846"/>
        <n v="0.9667752442996743"/>
        <n v="0.9824120603015075"/>
        <n v="0.9759812536613942"/>
        <n v="0.9551321450522434"/>
        <n v="0.9729458917835672"/>
        <n v="0.9358452138492872"/>
        <n v="0.9482470784641068"/>
        <n v="0.9573934837092732"/>
        <n v="0.9581056466302368"/>
        <n v="0.9432624113475178"/>
        <n v="0.9832953682611997"/>
        <n v="0.9520325203252032"/>
        <n v="0.9368029739776952"/>
        <n v="0.9334677419354839"/>
        <n v="0.9239881539980257"/>
        <n v="0.9876923076923076"/>
        <n v="0.9693877551020408"/>
        <n v="0.998641304347826"/>
        <n v="0.8750796685787126"/>
        <n v="0.9251247920133111"/>
        <n v="0.9277301927194861"/>
        <n v="0.9050279329608939"/>
        <n v="0.994721689059501"/>
        <n v="0.96"/>
        <n v="0.9452332657200812"/>
        <n v="0.9470238095238095"/>
        <n v="0.9883008356545961"/>
        <n v="0.9341317365269461"/>
        <n v="0.8968503937007875"/>
        <n v="0.8727556596409055"/>
        <n v="0.8882466281310212"/>
        <n v="0.9133807369101486"/>
        <n v="0.973635806253832"/>
        <n v="0.9029395452024404"/>
        <n v="0.891875"/>
        <n v="0.9905312993161494"/>
        <n v="0.9655963302752294"/>
        <n v="0.897982062780269"/>
        <n v="0.9369034994697774"/>
        <n v="0.9528857479387515"/>
        <n v="0.9630836047774158"/>
        <n v="0.9891540130151844"/>
        <n v="0.9956379498364231"/>
        <n v="0.9357601713062098"/>
        <n v="0.959830866807611"/>
        <n v="0.9447791164658634"/>
        <n v="0.9330316742081448"/>
        <n v="0.9543973941368078"/>
        <n v="0.9554285714285714"/>
        <n v="0.9706242350061199"/>
        <n v="0.9966442953020134"/>
        <n v="0.9664053751399776"/>
        <n v="0.9823570924488356"/>
        <n v="0.943532501641497"/>
        <n v="0.8823529411764706"/>
        <n v="0.9752066115702479"/>
        <n v="0.8860759493670887"/>
        <n v="0.998780487804878"/>
        <n v="0.9963215974776668"/>
        <n v="0.9531696173615077"/>
        <n v="0.9768234492160872"/>
        <n v="0.9722054380664653"/>
        <n v="0.9852670349907919"/>
        <n v="0.973531310522918"/>
        <n v="0.9222707423580786"/>
        <n v="0.9258181818181819"/>
        <n v="0.9319826338639653"/>
        <n v="0.9891556932610379"/>
        <n v="0.9252095422308189"/>
        <n v="0.9673416067929458"/>
        <n v="0.9251369446135118"/>
        <n v="0.9956386292834891"/>
        <n v="0.9449236894492369"/>
        <n v="0.947800149142431"/>
        <n v="0.9847878302642114"/>
        <n v="0.9387755102040817"/>
        <n v="0.9820051413881749"/>
        <n v="0.9800498753117207"/>
        <n v="0.9892008639308856"/>
        <n v="0.9305263157894736"/>
        <n v="0.9774590163934426"/>
        <n v="0.9743119266055046"/>
        <n v="0.8533333333333333"/>
        <n v="0.9044585987261147"/>
        <n v="0.8707070707070708"/>
        <n v="0.851931330472103"/>
        <n v="0.8755364806866953"/>
        <n v="0.9935064935064936"/>
        <n v="0.8702791461412152"/>
        <n v="0.9740484429065744"/>
        <n v="0.9710365853658537"/>
        <n v="0.9950819672131147"/>
        <n v="0.9880059970014993"/>
        <n v="0.9114658925979681"/>
        <n v="0.80466472303207"/>
        <n v="0.9851351351351352"/>
        <n v="0.9654714475431607"/>
        <n v="0.864321608040201"/>
        <n v="0.974739970282318"/>
        <n v="0.8176020408163265"/>
        <n v="0.9274924471299093"/>
        <n v="0.9691780821917808"/>
        <n v="0.9175824175824175"/>
        <n v="0.8854166666666666"/>
        <n v="0.9624277456647399"/>
        <n v="0.8642659279778393"/>
        <n v="0.9119638826185101"/>
        <n v="0.9146919431279621"/>
        <n v="0.9725"/>
        <n v="0.9280397022332506"/>
        <n v="0.995049504950495"/>
        <n v="0.8820861678004535"/>
        <n v="0.9596602972399151"/>
        <n v="0.9732313575525813"/>
        <n v="0.9368635437881874"/>
        <n v="0.8377862595419847"/>
        <n v="0.9146141215106732"/>
        <n v="0.9577922077922078"/>
        <n v="0.9651741293532339"/>
        <n v="0.9224806201550387"/>
        <n v="0.8764478764478765"/>
        <n v="0.9484346224677717"/>
        <n v="0.8650963597430407"/>
        <n v="0.821917808219178"/>
        <n v="0.9662337662337662"/>
        <n v="0.9494949494949495"/>
        <n v="0.959079283887468"/>
        <n v="0.9012048192771085"/>
        <n v="0.8611111111111112"/>
        <n v="0.9261213720316622"/>
        <n v="0.9787234042553191"/>
        <n v="0.8415300546448088"/>
        <n v="0.9129129129129129"/>
        <n v="0.8575757575757575"/>
        <n v="0.9812834224598931"/>
        <n v="0.8813559322033898"/>
        <n v="0.9475982532751092"/>
        <n v="0.8523908523908523"/>
        <n v="0.9006342494714588"/>
        <n v="0.9164882226980728"/>
        <n v="0.911231884057971"/>
        <n v="0.9102040816326531"/>
        <n v="0.8679245283018868"/>
        <n v="0.8720682302771855"/>
        <n v="0.8127572016460906"/>
        <n v="0.9106753812636166"/>
        <n v="0.9289940828402367"/>
        <n v="0.8945233265720081"/>
        <n v="0.9695740365111561"/>
        <n v="0.9416809605488851"/>
        <n v="0.8223443223443223"/>
        <n v="0.9041297935103245"/>
        <n v="0.9337175792507204"/>
        <n v="0.9778393351800554"/>
        <n v="0.8186889818688982"/>
        <n v="0.9108527131782945"/>
        <n v="0.8748335552596538"/>
        <n v="0.8471138845553823"/>
        <n v="0.9172510518934082"/>
        <n v="0.9437689969604863"/>
        <n v="0.945993031358885"/>
        <n v="0.9176029962546817"/>
        <n v="0.9608763693270735"/>
        <n v="0.9240506329113924"/>
        <n v="0.8372781065088757"/>
        <n v="0.9287749287749287"/>
        <n v="0.9614855570839065"/>
        <n v="0.9975062344139651"/>
        <n v="0.9487516425755584"/>
        <n v="0.8888888888888888"/>
        <n v="0.99039780521262"/>
        <n v="0.8272727272727273"/>
        <n v="0.9343283582089552"/>
        <n v="0.8031914893617021"/>
        <n v="0.8866995073891626"/>
        <n v="0.9105882352941177"/>
        <n v="0.9385026737967914"/>
        <n v="0.978021978021978"/>
        <n v="0.8740554156171285"/>
        <n v="0.8675675675675676"/>
        <n v="0.993993993993994"/>
        <n v="0.9762611275964391"/>
        <n v="0.9066265060240963"/>
        <n v="0.9839816933638444"/>
        <n v="0.9218106995884774"/>
        <n v="0.892116182572614"/>
        <n v="0.8672727272727273"/>
        <n v="0.9578059071729957"/>
        <n v="0.9711340206185567"/>
        <n v="0.9153543307086615"/>
        <n v="0.9331983805668016"/>
        <n v="0.9975961538461539"/>
        <n v="0.9242761692650334"/>
        <n v="0.9088729016786571"/>
        <n v="0.8582677165354331"/>
        <n v="0.8618421052631579"/>
        <n v="0.8646288209606987"/>
        <n v="0.8817966903073287"/>
        <n v="0.9664570230607966"/>
        <n v="0.9386503067484663"/>
        <n v="0.8670634920634921"/>
        <n v="0.9157427937915743"/>
        <n v="0.9932126696832579"/>
        <n v="0.9863636363636363"/>
        <n v="0.9148936170212766"/>
        <n v="0.8819969742813918"/>
        <n v="0.9175911251980983"/>
        <n v="0.9465317919075145"/>
        <n v="0.9645476772616137"/>
        <n v="0.8638132295719845"/>
        <n v="0.9510807736063709"/>
        <n v="0.8849347568208779"/>
        <n v="0.8018494055482166"/>
        <n v="0.9049255441008018"/>
        <n v="0.8966442953020134"/>
        <n v="0.9089635854341737"/>
        <n v="0.8631756756756757"/>
        <n v="0.8966565349544073"/>
        <n v="0.9302325581395349"/>
        <n v="0.9987357774968394"/>
        <n v="0.9962406015037594"/>
        <n v="0.8581644815256257"/>
        <n v="0.9690844233055886"/>
        <n v="0.9121387283236995"/>
        <n v="0.8532544378698225"/>
        <n v="0.9567979669631512"/>
        <n v="0.988833746898263"/>
        <n v="0.919908466819222"/>
        <n v="0.9523026315789473"/>
        <n v="0.8085867620751341"/>
        <n v="0.8447098976109215"/>
        <n v="0.9740458015267176"/>
        <n v="0.9675236806495264"/>
        <n v="0.9930167597765364"/>
        <n v="0.9482758620689655"/>
        <n v="0.810126582278481"/>
        <n v="0.9037593984962407"/>
        <n v="0.8694362017804154"/>
        <n v="0.8095975232198143"/>
        <n v="0.9706744868035191"/>
        <n v="0.9539473684210527"/>
        <n v="0.8622047244094488"/>
        <n v="0.996078431372549"/>
        <n v="0.8951890034364262"/>
        <n v="0.9330855018587361"/>
        <n v="0.9258620689655173"/>
        <n v="0.9454855195911414"/>
        <n v="0.9525423728813559"/>
        <n v="0.9861830742659758"/>
        <n v="0.8286778398510242"/>
        <n v="0.8561525129982669"/>
        <n v="0.8353909465020576"/>
        <n v="0.9214285714285715"/>
        <n v="0.95"/>
        <n v="0.8424908424908425"/>
        <n v="0.9112426035502958"/>
        <n v="0.9154929577464789"/>
        <n v="0.9420731707317073"/>
        <n v="0.9532710280373832"/>
        <n v="0.8081180811808117"/>
        <n v="0.9890510948905109"/>
        <n v="0.825938566552901"/>
        <n v="0.9126984126984127"/>
        <n v="0.9980769230769231"/>
        <n v="0.9115755627009646"/>
        <n v="0.8726235741444867"/>
        <n v="0.9418238993710691"/>
        <n v="0.8335949764521193"/>
        <n v="0.9246153846153846"/>
        <n v="0.9184692179700499"/>
        <n v="0.9036363636363637"/>
        <n v="0.9797160243407708"/>
        <n v="0.9410569105691057"/>
        <n v="0.9899749373433584"/>
        <n v="0.9186602870813397"/>
        <n v="0.9160671462829736"/>
        <n v="0.9396551724137931"/>
        <n v="0.9417670682730923"/>
        <n v="0.9364754098360656"/>
        <n v="0.9831932773109243"/>
        <n v="0.9172113289760349"/>
        <n v="0.9375"/>
        <n v="0.9359223300970874"/>
        <n v="0.8902439024390244"/>
        <n v="0.8879668049792531"/>
        <n v="0.9582132564841499"/>
        <n v="0.864570737605804"/>
        <n v="0.8765027322404372"/>
        <n v="0.8818565400843882"/>
        <n v="0.9929906542056075"/>
        <n v="0.9922394678492239"/>
        <n v="0.9856985698569857"/>
        <n v="0.9356913183279743"/>
        <n v="0.9041713641488163"/>
        <n v="0.8820809248554913"/>
        <n v="0.8642131979695431"/>
        <n v="0.92"/>
        <n v="0.8293918918918919"/>
        <n v="0.8755760368663594"/>
        <n v="0.8909090909090909"/>
        <n v="0.9611901681759379"/>
        <n v="0.9822888283378747"/>
        <n v="0.8810096153846154"/>
        <n v="0.836340206185567"/>
        <n v="0.99581589958159"/>
        <n v="0.9570637119113573"/>
        <n v="0.8318912237330037"/>
        <n v="0.8762755102040817"/>
        <n v="0.935374149659864"/>
        <n v="0.9753086419753086"/>
        <n v="0.8193146417445483"/>
        <n v="0.9730458221024259"/>
        <n v="0.9422572178477691"/>
        <n v="0.8708860759493671"/>
        <n v="0.9083769633507853"/>
        <n v="0.9851116625310173"/>
        <n v="0.9104046242774566"/>
        <n v="0.9253333333333333"/>
        <n v="0.9371584699453552"/>
        <n v="0.8626373626373627"/>
        <n v="0.9803921568627451"/>
        <n v="0.8069444444444445"/>
        <n v="0.9809523809523809"/>
        <n v="0.8686046511627907"/>
        <n v="0.977906976744186"/>
        <n v="0.9040793825799338"/>
        <n v="0.9914841849148418"/>
        <n v="0.9278846153846154"/>
        <n v="0.9931818181818182"/>
        <n v="0.8380434782608696"/>
        <n v="0.9828269484808454"/>
        <n v="0.9571428571428572"/>
        <n v="0.9419889502762431"/>
        <n v="0.9891304347826086"/>
        <n v="0.9348958333333334"/>
        <n v="0.8719806763285024"/>
        <n v="0.9004424778761062"/>
        <n v="0.9595744680851064"/>
        <n v="0.9175704989154013"/>
        <n v="0.983132530120482"/>
        <n v="0.893719806763285"/>
        <n v="0.9884526558891455"/>
        <n v="0.9876288659793815"/>
        <n v="0.8636363636363636"/>
        <n v="0.9438502673796791"/>
        <n v="0.9845360824742269"/>
        <n v="0.9536423841059603"/>
        <n v="0.9133333333333333"/>
        <n v="0.9184100418410042"/>
        <n v="0.8934624697336562"/>
        <n v="0.8732718894009217"/>
        <n v="0.8992248062015504"/>
        <n v="0.9653333333333334"/>
        <n v="0.9242424242424242"/>
        <n v="0.927765237020316"/>
        <n v="0.9805194805194806"/>
        <n v="0.9819639278557114"/>
        <n v="0.9683168316831683"/>
        <n v="0.962457337883959"/>
        <n v="0.8594507269789984"/>
        <n v="0.8843930635838151"/>
        <n v="0.9500924214417745"/>
        <n v="0.971042471042471"/>
        <n v="0.9593023255813954"/>
        <n v="0.9190207156308852"/>
        <n v="0.9141104294478528"/>
        <n v="0.8730769230769231"/>
        <n v="0.901060070671378"/>
        <n v="0.9536354056902002"/>
        <n v="0.9582542694497154"/>
        <n v="0.8896164639850328"/>
        <n v="0.8736654804270463"/>
        <n v="0.9690222652468539"/>
        <n v="0.9023696682464455"/>
        <n v="0.9692154915590864"/>
        <n v="0.9595314164004259"/>
        <n v="0.8572984749455338"/>
        <n v="0.9501779359430605"/>
        <n v="0.9965870307167235"/>
        <n v="0.9189944134078212"/>
        <n v="0.9259259259259259"/>
        <n v="0.8242811501597445"/>
        <n v="0.9281767955801105"/>
        <n v="0.9886363636363636"/>
        <n v="0.8834355828220859"/>
        <n v="0.9541284403669725"/>
        <n v="0.9088145896656535"/>
        <n v="0.8709677419354839"/>
        <n v="0.946236559139785"/>
        <n v="0.8674388674388674"/>
        <n v="0.8517555266579974"/>
        <n v="0.9656398104265402"/>
        <n v="0.9628681177976952"/>
        <n v="0.9772455089820359"/>
        <n v="0.8844672657252888"/>
        <n v="0.9074733096085409"/>
        <n v="0.9735516372795969"/>
        <n v="0.9301470588235294"/>
        <n v="0.8526048284625158"/>
        <n v="0.993006993006993"/>
        <n v="0.9273301737756714"/>
        <n v="0.9646464646464646"/>
        <n v="0.9016393442622951"/>
        <n v="0.9085239085239085"/>
        <n v="0.8616071428571428"/>
        <n v="0.928"/>
        <n v="0.9981751824817519"/>
        <n v="0.8933333333333333"/>
        <n v="0.892"/>
        <n v="0.9553752535496958"/>
        <n v="0.9672727272727273"/>
        <n v="0.9675090252707581"/>
        <n v="0.8884892086330936"/>
        <n v="0.9737991266375546"/>
        <n v="0.8949494949494949"/>
        <n v="0.8298245614035088"/>
        <n v="0.9570957095709571"/>
        <n v="0.9834710743801653"/>
        <n v="0.9894259818731118"/>
        <n v="0.838957055214724"/>
        <n v="0.8634920634920635"/>
        <n v="0.9732283464566929"/>
        <n v="0.8314785373608903"/>
        <n v="0.9658886894075404"/>
        <n v="0.84"/>
        <n v="0.9647058823529412"/>
        <n v="0.8538283062645011"/>
        <n v="0.8673469387755102"/>
        <n v="0.9544513457556936"/>
        <n v="0.9868995633187773"/>
        <n v="0.8705179282868526"/>
        <n v="0.8739316239316239"/>
        <n v="0.8813186813186813"/>
        <n v="0.9175946547884187"/>
        <n v="0.9514348785871964"/>
        <n v="0.925414364640884"/>
        <n v="0.8692098092643052"/>
        <n v="0.9111111111111111"/>
        <n v="0.8866544789762341"/>
        <n v="0.9798657718120806"/>
        <n v="0.9756521739130435"/>
        <n v="0.9968"/>
        <n v="0.9001782531194296"/>
        <n v="0.8672566371681416"/>
        <n v="0.9291736930860034"/>
        <n v="0.9825783972125436"/>
        <n v="0.8708133971291866"/>
        <n v="0.8579545454545454"/>
        <n v="0.9933665008291874"/>
        <n v="0.8363136176066025"/>
        <n v="0.9376657824933687"/>
        <n v="0.9663182346109176"/>
        <n v="0.8761706555671176"/>
        <n v="0.9536637931034483"/>
        <n v="0.9953810623556582"/>
        <n v="0.9806576402321083"/>
        <n v="0.881808838643371"/>
        <n v="0.8946135831381733"/>
        <n v="0.8113207547169812"/>
        <n v="0.9444444444444444"/>
        <n v="0.9761092150170648"/>
        <n v="0.909221902017291"/>
        <n v="0.9741144414168937"/>
        <n v="0.9902557856272838"/>
        <n v="0.867699642431466"/>
        <n v="0.8218181818181818"/>
        <n v="0.9631901840490797"/>
        <n v="0.8489208633093526"/>
        <n v="0.9411071849234394"/>
        <n v="0.985897435897436"/>
        <n v="0.9953596287703016"/>
        <n v="0.9256844850065189"/>
        <n v="0.9858823529411764"/>
        <n v="0.8521303258145363"/>
        <n v="0.8764044943820225"/>
        <n v="0.8984198645598194"/>
        <n v="0.8479657387580299"/>
        <n v="0.9505376344086022"/>
        <n v="0.9844789356984479"/>
        <n v="0.8661567877629063"/>
        <n v="0.9408033826638478"/>
        <n v="0.9001996007984032"/>
        <n v="0.9078947368421053"/>
        <n v="0.9810126582278481"/>
        <n v="0.7457627118644068"/>
        <n v="0.984251968503937"/>
        <n v="0.8814814814814815"/>
        <n v="0.8682170542635659"/>
        <n v="0.7553956834532374"/>
        <n v="0.8846153846153846"/>
        <n v="0.9319727891156463"/>
        <n v="0.9785714285714285"/>
        <n v="0.7906976744186046"/>
        <n v="0.9359999999999999"/>
        <n v="0.8275862068965517"/>
        <n v="0.8146853146853147"/>
        <n v="0.9288256227758007"/>
        <n v="0.889261744966443"/>
        <n v="0.9217081850533808"/>
        <n v="0.9090909090909091"/>
        <n v="0.9880952380952381"/>
        <n v="0.9006211180124224"/>
        <n v="0.7308868501529052"/>
        <n v="0.864406779661017"/>
        <n v="0.977491961414791"/>
        <n v="0.8108974358974359"/>
        <n v="0.934640522875817"/>
        <n v="0.9818840579710145"/>
        <n v="0.7543859649122807"/>
        <n v="0.7711267605633803"/>
        <n v="0.830945558739255"/>
        <n v="0.8053691275167785"/>
        <n v="0.84375"/>
        <n v="0.7601246105919003"/>
        <n v="0.7864077669902912"/>
        <n v="0.8020477815699658"/>
        <n v="0.916058394160584"/>
        <n v="0.8291814946619217"/>
        <n v="0.8082901554404145"/>
        <n v="0.7947368421052632"/>
        <n v="0.770949720670391"/>
        <n v="0.9574468085106383"/>
        <n v="0.9507389162561576"/>
        <n v="0.788546255506608"/>
        <n v="0.7428571428571429"/>
        <n v="0.7525773195876289"/>
        <n v="0.9883040935672515"/>
        <n v="0.9081632653061225"/>
        <n v="0.7784090909090909"/>
        <n v="0.839622641509434"/>
        <n v="0.8913043478260869"/>
        <n v="0.7904761904761904"/>
        <n v="0.9781659388646288"/>
        <n v="0.9819004524886877"/>
        <n v="0.9782608695652174"/>
        <n v="0.8603603603603603"/>
        <n v="0.9612068965517241"/>
        <n v="0.9191919191919192"/>
        <n v="0.9363636363636364"/>
        <n v="0.9514563106796117"/>
        <n v="0.9761904761904762"/>
        <n v="0.8141592920353982"/>
        <n v="0.9256198347107438"/>
        <n v="0.9596774193548387"/>
        <n v="0.9416058394160584"/>
        <n v="0.7627118644067796"/>
        <n v="0.7686567164179104"/>
        <n v="0.9745762711864406"/>
        <n v="0.8208955223880597"/>
        <n v="0.8915094339622641"/>
        <n v="0.9130434782608696"/>
        <n v="0.9029850746268657"/>
        <n v="0.9157088122605364"/>
        <n v="0.9404761904761905"/>
        <n v="0.8120300751879699"/>
        <n v="0.8955223880597015"/>
        <n v="0.8566666666666667"/>
        <n v="0.9618320610687023"/>
        <n v="0.8346456692913385"/>
        <n v="0.9405204460966543"/>
        <n v="0.8007518796992481"/>
        <n v="0.8137931034482758"/>
        <n v="0.8409090909090909"/>
        <n v="0.925"/>
        <n v="0.9657534246575342"/>
        <n v="0.7904191616766467"/>
        <n v="0.8524590163934427"/>
        <n v="0.7678571428571428"/>
        <n v="0.7625"/>
        <n v="0.9349112426035503"/>
        <n v="0.8104575163398693"/>
        <n v="0.8260869565217391"/>
        <n v="0.7014925373134329"/>
        <n v="0.7926829268292683"/>
        <n v="0.8227848101265822"/>
        <n v="0.8414634146341463"/>
        <n v="0.75"/>
        <n v="0.8144329896907216"/>
        <n v="0.9805825242718447"/>
        <n v="0.8222222222222222"/>
        <n v="0.8645833333333334"/>
        <n v="0.8111111111111111"/>
        <n v="0.7349397590361446"/>
        <n v="0.9021739130434783"/>
        <n v="0.9102564102564102"/>
        <n v="0.8674698795180723"/>
        <n v="0.7954545454545454"/>
        <n v="0.7741935483870968"/>
        <n v="0.875"/>
        <n v="0.7474747474747474"/>
        <n v="0.8604651162790697"/>
        <n v="0.8658536585365854"/>
        <n v="0.9634146341463414"/>
        <n v="0.9659090909090909"/>
        <n v="0.9236641221374046"/>
        <n v="0.8157894736842105"/>
        <n v="0.7287066246056783"/>
        <n v="0.976401179941003"/>
        <n v="0.6977401129943503"/>
        <n v="0.89375"/>
        <n v="0.8126801152737753"/>
        <n v="0.7631578947368421"/>
        <n v="0.9006024096385542"/>
        <n v="0.7083333333333333"/>
        <n v="0.7108433734939759"/>
        <n v="0.7616438356164383"/>
        <n v="0.8758169934640523"/>
        <n v="0.7580645161290323"/>
        <n v="0.8377483443708609"/>
        <n v="0.8161290322580645"/>
        <n v="0.898360655737705"/>
        <n v="0.7970588235294118"/>
        <n v="0.7540453074433657"/>
        <n v="0.8986928104575164"/>
        <n v="0.8964401294498382"/>
        <n v="0.8807017543859649"/>
        <n v="0.8015267175572519"/>
        <n v="0.9433962264150944"/>
        <n v="0.921875"/>
        <n v="0.8095238095238095"/>
        <n v="0.9841269841269842"/>
        <n v="0.8333333333333334"/>
        <n v="0.904109589041096"/>
        <n v="0.8513513513513513"/>
        <n v="0.7945205479452055"/>
        <n v="0.8076923076923077"/>
        <n v="0.7875"/>
        <n v="0.8133333333333334"/>
        <n v="0.9527896995708155"/>
        <n v="0.97165991902834"/>
        <n v="0.9015748031496063"/>
        <n v="0.9959183673469387"/>
        <n v="0.9385245901639344"/>
        <n v="0.9261992619926199"/>
        <n v="0.9513888888888888"/>
        <n v="0.7843137254901961"/>
        <n v="0.927038626609442"/>
        <n v="0.76890756302521"/>
        <n v="0.9195402298850575"/>
        <n v="0.9888888888888889"/>
        <n v="0.9197860962566845"/>
        <n v="0.9947916666666666"/>
        <n v="0.8858695652173914"/>
        <n v="0.9187817258883249"/>
        <n v="0.8983050847457628"/>
        <n v="0.8383233532934131"/>
        <n v="0.837696335078534"/>
        <n v="0.9621621621621621"/>
        <n v="0.962962962962963"/>
        <n v="0.6402439024390244"/>
        <n v="0.9053254437869822"/>
        <n v="0.7045454545454546"/>
        <n v="0.9479166666666666"/>
        <n v="0.7747252747252747"/>
        <n v="0.7772277227722773"/>
        <n v="0.9245283018867925"/>
        <n v="0.7735849056603774"/>
        <n v="0.9493670886075949"/>
        <n v="0.6590909090909092"/>
        <n v="0.743801652892562"/>
        <n v="0.7519685039370079"/>
        <n v="0.7137096774193548"/>
        <n v="0.5970695970695971"/>
        <n v="0.8079470198675497"/>
        <n v="0.8767123287671232"/>
        <n v="0.841726618705036"/>
        <n v="0.7712418300653595"/>
        <n v="0.6307692307692307"/>
        <n v="0.9251968503937008"/>
        <n v="0.6561264822134387"/>
        <n v="0.6981707317073171"/>
        <n v="0.8736842105263158"/>
        <n v="0.8790123456790123"/>
        <n v="0.8477751756440282"/>
        <n v="0.8631840796019901"/>
        <n v="0.8438287153652393"/>
        <n v="0.9552941176470588"/>
        <n v="0.7444168734491314"/>
        <n v="0.6675"/>
        <n v="0.853185595567867"/>
        <n v="0.8950276243093923"/>
        <n v="0.9894459102902374"/>
        <n v="0.7002518891687657"/>
        <n v="0.6057007125890737"/>
        <n v="0.6742596810933941"/>
        <n v="0.9829683698296837"/>
        <n v="0.5751789976133652"/>
        <n v="0.7966903073286052"/>
        <n v="0.6492890995260663"/>
        <n v="0.9927536231884058"/>
        <n v="0.9676616915422885"/>
        <n v="0.654054054054054"/>
        <n v="0.6524390243902439"/>
        <n v="0.7366167023554604"/>
        <n v="0.7969094922737306"/>
        <n v="0.9597902097902098"/>
        <n v="0.8793418647166362"/>
        <n v="0.98"/>
        <n v="0.7020905923344948"/>
        <n v="0.9289099526066351"/>
        <n v="0.984399375975039"/>
        <n v="0.9346879535558781"/>
        <n v="0.8862068965517241"/>
        <n v="0.6543001686340641"/>
        <n v="0.7514367816091954"/>
        <n v="0.7076023391812866"/>
        <n v="0.8682634730538922"/>
        <n v="0.7818181818181819"/>
        <n v="0.9012345679012346"/>
        <n v="0.5988372093023255"/>
        <n v="0.9027027027027027"/>
        <n v="0.7359550561797753"/>
        <n v="0.8711656441717791"/>
        <n v="0.9503105590062112"/>
        <n v="0.6705202312138728"/>
        <n v="0.9166666666666666"/>
        <n v="0.7478510028653296"/>
        <n v="0.803763440860215"/>
        <n v="0.733502538071066"/>
        <n v="0.8911917098445596"/>
        <n v="0.994750656167979"/>
        <n v="0.7759562841530054"/>
        <n v="0.6746411483253589"/>
        <n v="0.9976019184652278"/>
        <n v="0.5948275862068966"/>
        <n v="0.9612590799031477"/>
        <n v="0.7674418604651163"/>
        <n v="0.8715846994535519"/>
        <n v="0.9777070063694268"/>
        <n v="0.9700598802395209"/>
        <n v="0.645945945945946"/>
        <n v="0.7707736389684814"/>
        <n v="0.973753280839895"/>
        <n v="0.7295285359801489"/>
        <n v="0.7477203647416413"/>
        <n v="0.7537537537537538"/>
        <n v="0.6190476190476191"/>
        <n v="0.9285714285714286"/>
        <n v="0.930379746835443"/>
        <n v="0.6590330788804071"/>
        <n v="0.7050561797752809"/>
        <n v="0.8949880668257757"/>
        <n v="0.7444444444444445"/>
        <n v="0.8148984198645598"/>
        <n v="0.7661795407098121"/>
        <n v="0.7601476014760148"/>
        <n v="0.6704119850187267"/>
        <n v="0.6342042755344418"/>
        <n v="0.8938053097345133"/>
        <n v="0.6032863849765258"/>
        <n v="0.7425149700598803"/>
        <n v="0.9421221864951769"/>
        <n v="0.9572953736654805"/>
        <n v="0.8956228956228957"/>
        <n v="0.6208955223880597"/>
        <n v="0.6580459770114943"/>
        <n v="0.6742424242424243"/>
        <n v="0.6666666666666667"/>
        <n v="0.8093994778067886"/>
        <n v="0.9702380952380952"/>
        <n v="0.8663239074550129"/>
        <n v="0.625748502994012"/>
        <n v="0.803921568627451"/>
      </sharedItems>
    </cacheField>
    <cacheField name="Bias" numFmtId="0">
      <sharedItems containsSemiMixedTypes="0" containsString="0" containsNumber="1" containsInteger="1">
        <n v="-10.0"/>
        <n v="-118.0"/>
        <n v="-109.0"/>
        <n v="-229.0"/>
        <n v="-289.0"/>
        <n v="50.0"/>
        <n v="64.0"/>
        <n v="-82.0"/>
        <n v="-272.0"/>
        <n v="-159.0"/>
        <n v="56.0"/>
        <n v="-260.0"/>
        <n v="-59.0"/>
        <n v="-52.0"/>
        <n v="-199.0"/>
        <n v="48.0"/>
        <n v="-163.0"/>
        <n v="-37.0"/>
        <n v="-212.0"/>
        <n v="-233.0"/>
        <n v="-169.0"/>
        <n v="-143.0"/>
        <n v="-72.0"/>
        <n v="38.0"/>
        <n v="97.0"/>
        <n v="-45.0"/>
        <n v="5.0"/>
        <n v="99.0"/>
        <n v="11.0"/>
        <n v="133.0"/>
        <n v="-67.0"/>
        <n v="-91.0"/>
        <n v="-19.0"/>
        <n v="-54.0"/>
        <n v="77.0"/>
        <n v="-99.0"/>
        <n v="-13.0"/>
        <n v="-114.0"/>
        <n v="-68.0"/>
        <n v="-11.0"/>
        <n v="-47.0"/>
        <n v="4.0"/>
        <n v="-26.0"/>
        <n v="-46.0"/>
        <n v="-90.0"/>
        <n v="-8.0"/>
        <n v="-120.0"/>
        <n v="-34.0"/>
        <n v="55.0"/>
        <n v="1.0"/>
        <n v="-18.0"/>
        <n v="-145.0"/>
        <n v="-124.0"/>
        <n v="-136.0"/>
        <n v="52.0"/>
        <n v="-73.0"/>
        <n v="-107.0"/>
        <n v="-79.0"/>
        <n v="-101.0"/>
        <n v="75.0"/>
        <n v="-135.0"/>
        <n v="-113.0"/>
        <n v="-177.0"/>
        <n v="-100.0"/>
        <n v="-129.0"/>
        <n v="-48.0"/>
        <n v="-98.0"/>
        <n v="-33.0"/>
        <n v="-137.0"/>
        <n v="-104.0"/>
        <n v="-148.0"/>
        <n v="-29.0"/>
        <n v="-57.0"/>
        <n v="-32.0"/>
        <n v="-23.0"/>
        <n v="23.0"/>
        <n v="-85.0"/>
        <n v="98.0"/>
        <n v="-3.0"/>
        <n v="74.0"/>
        <n v="163.0"/>
        <n v="88.0"/>
        <n v="0.0"/>
        <n v="110.0"/>
        <n v="155.0"/>
        <n v="140.0"/>
        <n v="160.0"/>
        <n v="35.0"/>
        <n v="-69.0"/>
        <n v="-55.0"/>
        <n v="-112.0"/>
        <n v="-49.0"/>
        <n v="-75.0"/>
        <n v="-51.0"/>
        <n v="-35.0"/>
        <n v="-41.0"/>
        <n v="129.0"/>
        <n v="-42.0"/>
        <n v="-4.0"/>
        <n v="244.0"/>
        <n v="60.0"/>
        <n v="209.0"/>
        <n v="246.0"/>
        <n v="227.0"/>
        <n v="40.0"/>
        <n v="100.0"/>
        <n v="158.0"/>
        <n v="43.0"/>
        <n v="109.0"/>
        <n v="-5.0"/>
        <n v="164.0"/>
        <n v="46.0"/>
        <n v="81.0"/>
        <n v="112.0"/>
        <n v="-150.0"/>
        <n v="7.0"/>
        <n v="-158.0"/>
        <n v="-127.0"/>
        <n v="-141.0"/>
        <n v="-172.0"/>
        <n v="-200.0"/>
        <n v="-182.0"/>
        <n v="-31.0"/>
        <n v="-189.0"/>
        <n v="-161.0"/>
        <n v="-175.0"/>
        <n v="-27.0"/>
        <n v="-63.0"/>
        <n v="-15.0"/>
        <n v="-185.0"/>
        <n v="-194.0"/>
        <n v="-97.0"/>
        <n v="-108.0"/>
        <n v="-62.0"/>
        <n v="-262.0"/>
        <n v="15.0"/>
        <n v="-235.0"/>
        <n v="-53.0"/>
        <n v="-70.0"/>
        <n v="-87.0"/>
        <n v="-89.0"/>
        <n v="67.0"/>
        <n v="-173.0"/>
        <n v="-191.0"/>
        <n v="-2.0"/>
        <n v="-243.0"/>
        <n v="-144.0"/>
        <n v="2.0"/>
        <n v="61.0"/>
        <n v="8.0"/>
        <n v="12.0"/>
        <n v="-92.0"/>
        <n v="-134.0"/>
        <n v="39.0"/>
        <n v="59.0"/>
        <n v="19.0"/>
        <n v="87.0"/>
        <n v="120.0"/>
        <n v="92.0"/>
        <n v="76.0"/>
        <n v="93.0"/>
        <n v="207.0"/>
        <n v="16.0"/>
        <n v="141.0"/>
        <n v="168.0"/>
        <n v="22.0"/>
        <n v="84.0"/>
        <n v="70.0"/>
        <n v="181.0"/>
        <n v="211.0"/>
        <n v="-74.0"/>
        <n v="-204.0"/>
        <n v="32.0"/>
        <n v="-181.0"/>
        <n v="-154.0"/>
        <n v="-39.0"/>
        <n v="-22.0"/>
        <n v="45.0"/>
        <n v="-110.0"/>
        <n v="275.0"/>
        <n v="117.0"/>
        <n v="199.0"/>
        <n v="-9.0"/>
        <n v="235.0"/>
        <n v="193.0"/>
        <n v="73.0"/>
        <n v="223.0"/>
        <n v="-44.0"/>
        <n v="174.0"/>
        <n v="9.0"/>
        <n v="-116.0"/>
        <n v="53.0"/>
        <n v="-71.0"/>
        <n v="71.0"/>
        <n v="89.0"/>
        <n v="166.0"/>
        <n v="131.0"/>
        <n v="132.0"/>
        <n v="-12.0"/>
        <n v="49.0"/>
        <n v="14.0"/>
        <n v="94.0"/>
        <n v="26.0"/>
        <n v="62.0"/>
        <n v="-25.0"/>
        <n v="102.0"/>
        <n v="-105.0"/>
        <n v="-123.0"/>
        <n v="-132.0"/>
        <n v="47.0"/>
        <n v="-188.0"/>
        <n v="31.0"/>
        <n v="-20.0"/>
        <n v="153.0"/>
        <n v="13.0"/>
        <n v="-38.0"/>
        <n v="145.0"/>
        <n v="41.0"/>
        <n v="42.0"/>
        <n v="80.0"/>
        <n v="63.0"/>
        <n v="128.0"/>
        <n v="101.0"/>
        <n v="104.0"/>
        <n v="105.0"/>
        <n v="108.0"/>
        <n v="57.0"/>
        <n v="-7.0"/>
        <n v="-80.0"/>
        <n v="54.0"/>
        <n v="51.0"/>
        <n v="-94.0"/>
        <n v="-115.0"/>
        <n v="-122.0"/>
        <n v="-151.0"/>
        <n v="-14.0"/>
        <n v="21.0"/>
        <n v="-146.0"/>
        <n v="-66.0"/>
        <n v="-86.0"/>
        <n v="96.0"/>
        <n v="179.0"/>
        <n v="-95.0"/>
        <n v="-61.0"/>
        <n v="126.0"/>
        <n v="69.0"/>
        <n v="-81.0"/>
        <n v="-103.0"/>
        <n v="30.0"/>
        <n v="66.0"/>
        <n v="-126.0"/>
        <n v="146.0"/>
        <n v="-30.0"/>
        <n v="170.0"/>
        <n v="-138.0"/>
        <n v="-152.0"/>
        <n v="-147.0"/>
        <n v="-157.0"/>
        <n v="34.0"/>
        <n v="-56.0"/>
        <n v="28.0"/>
        <n v="27.0"/>
        <n v="72.0"/>
        <n v="68.0"/>
        <n v="-77.0"/>
        <n v="-196.0"/>
        <n v="-187.0"/>
        <n v="-21.0"/>
        <n v="-121.0"/>
        <n v="-131.0"/>
        <n v="-174.0"/>
        <n v="-43.0"/>
        <n v="18.0"/>
        <n v="-60.0"/>
        <n v="-119.0"/>
        <n v="24.0"/>
        <n v="3.0"/>
        <n v="-168.0"/>
        <n v="36.0"/>
        <n v="-171.0"/>
        <n v="-24.0"/>
        <n v="-102.0"/>
        <n v="-50.0"/>
        <n v="123.0"/>
        <n v="83.0"/>
        <n v="-78.0"/>
        <n v="33.0"/>
        <n v="-58.0"/>
        <n v="79.0"/>
        <n v="134.0"/>
        <n v="17.0"/>
        <n v="143.0"/>
        <n v="-36.0"/>
        <n v="-40.0"/>
        <n v="-64.0"/>
        <n v="-28.0"/>
        <n v="20.0"/>
        <n v="58.0"/>
        <n v="29.0"/>
        <n v="44.0"/>
        <n v="91.0"/>
        <n v="65.0"/>
        <n v="-16.0"/>
        <n v="-130.0"/>
        <n v="37.0"/>
        <n v="-1.0"/>
        <n v="6.0"/>
        <n v="78.0"/>
        <n v="150.0"/>
        <n v="-65.0"/>
        <n v="124.0"/>
        <n v="107.0"/>
        <n v="-17.0"/>
        <n v="135.0"/>
        <n v="-83.0"/>
        <n v="-106.0"/>
        <n v="113.0"/>
        <n v="85.0"/>
        <n v="-6.0"/>
        <n v="-139.0"/>
        <n v="-149.0"/>
        <n v="25.0"/>
        <n v="-84.0"/>
        <n v="142.0"/>
        <n v="114.0"/>
        <n v="90.0"/>
        <n v="10.0"/>
        <n v="-88.0"/>
        <n v="119.0"/>
        <n v="115.0"/>
        <n v="-111.0"/>
        <n v="-96.0"/>
        <n v="-76.0"/>
        <n v="103.0"/>
        <n v="-166.0"/>
        <n v="-178.0"/>
        <n v="86.0"/>
        <n v="-128.0"/>
        <n v="171.0"/>
        <n v="-205.0"/>
        <n v="173.0"/>
        <n v="82.0"/>
        <n v="-176.0"/>
        <n v="118.0"/>
        <n v="-125.0"/>
      </sharedItems>
    </cacheField>
    <cacheField name="Bias_Interpretation" numFmtId="0">
      <sharedItems>
        <s v="Under Forecast"/>
        <s v="Over Forecast"/>
        <s v="Accurate Forecas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E2:F103" firstHeaderRow="0" firstDataRow="1" firstDataCol="0"/>
  <pivotFields>
    <pivotField name="SKU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ctual_Dem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Forecast_Dem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Absolute 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Percentage Erro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Forecast Accurac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Bi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Bias_Interpretation" compact="0" outline="0" multipleItemSelectionAllowed="1" showAll="0">
      <items>
        <item x="0"/>
        <item x="1"/>
        <item x="2"/>
        <item t="default"/>
      </items>
    </pivotField>
    <pivotField name="RS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MA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Tracking Sign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TS_Interpretation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MAX of Tracking Signal" fld="13" subtotal="max" baseField="0"/>
  </dataFields>
</pivotTableDefinition>
</file>

<file path=xl/pivotTables/pivotTable2.xml><?xml version="1.0" encoding="utf-8"?>
<pivotTableDefinition xmlns="http://schemas.openxmlformats.org/spreadsheetml/2006/main" name="Summary 2" cacheId="1" dataCaption="" compact="0" compactData="0">
  <location ref="A29:B34" firstHeaderRow="0" firstDataRow="1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ctual_Dem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Forecast_Dem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Absolute Err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Percentage Erro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Forecast Accurac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Bi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Bias_Interpretation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Bia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14"/>
    <col customWidth="1" min="3" max="3" width="6.86"/>
    <col customWidth="1" min="4" max="4" width="14.71"/>
    <col customWidth="1" min="5" max="5" width="16.57"/>
    <col customWidth="1" min="6" max="6" width="8.71"/>
    <col customWidth="1" min="7" max="7" width="13.43"/>
    <col customWidth="1" min="8" max="8" width="15.43"/>
    <col customWidth="1" min="9" max="9" width="16.43"/>
    <col customWidth="1" min="10" max="10" width="8.71"/>
    <col customWidth="1" min="11" max="11" width="17.57"/>
    <col customWidth="1" min="12" max="12" width="13.57"/>
    <col customWidth="1" min="13" max="13" width="8.71"/>
    <col customWidth="1" min="14" max="14" width="13.57"/>
    <col customWidth="1" min="15" max="15" width="24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</row>
    <row r="2">
      <c r="A2" s="1" t="s">
        <v>15</v>
      </c>
      <c r="B2" s="1" t="s">
        <v>16</v>
      </c>
      <c r="C2" s="1" t="s">
        <v>17</v>
      </c>
      <c r="D2" s="1">
        <v>1751.0</v>
      </c>
      <c r="E2" s="1">
        <v>1741.0</v>
      </c>
      <c r="F2" s="1">
        <f t="shared" ref="F2:F1201" si="2">E2-D2</f>
        <v>-10</v>
      </c>
      <c r="G2" s="1">
        <f t="shared" ref="G2:G1201" si="3">ABS(F2)</f>
        <v>10</v>
      </c>
      <c r="H2" s="6">
        <f t="shared" ref="H2:H1201" si="4">G2/D2</f>
        <v>0.005711022273</v>
      </c>
      <c r="I2" s="6">
        <f t="shared" ref="I2:I1201" si="5">1-H2</f>
        <v>0.9942889777</v>
      </c>
      <c r="J2" s="1">
        <f t="shared" ref="J2:J1201" si="6">E2-D2</f>
        <v>-10</v>
      </c>
      <c r="K2" s="1" t="str">
        <f t="shared" ref="K2:K1201" si="7">IF(J2&gt;0,"Over Forecast",IF(J2&lt;0,"Under Forecast", "Accurate Forecast"))</f>
        <v>Under Forecast</v>
      </c>
      <c r="L2" s="1">
        <f t="shared" ref="L2:M2" si="1">F2</f>
        <v>-10</v>
      </c>
      <c r="M2" s="7">
        <f t="shared" si="1"/>
        <v>10</v>
      </c>
      <c r="N2" s="7">
        <f t="shared" ref="N2:N1201" si="8">L2/M2</f>
        <v>-1</v>
      </c>
      <c r="O2" s="2" t="str">
        <f t="shared" ref="O2:O1201" si="9">IF(N2&gt;4,"Over Forecasting Problem",IF(N2&lt;=-4,"Under Forecasting Problem","Acceptable"))</f>
        <v>Acceptable</v>
      </c>
    </row>
    <row r="3">
      <c r="A3" s="1" t="s">
        <v>15</v>
      </c>
      <c r="B3" s="1" t="s">
        <v>16</v>
      </c>
      <c r="C3" s="1" t="s">
        <v>18</v>
      </c>
      <c r="D3" s="1">
        <v>2009.0</v>
      </c>
      <c r="E3" s="1">
        <v>1891.0</v>
      </c>
      <c r="F3" s="1">
        <f t="shared" si="2"/>
        <v>-118</v>
      </c>
      <c r="G3" s="1">
        <f t="shared" si="3"/>
        <v>118</v>
      </c>
      <c r="H3" s="6">
        <f t="shared" si="4"/>
        <v>0.0587356894</v>
      </c>
      <c r="I3" s="6">
        <f t="shared" si="5"/>
        <v>0.9412643106</v>
      </c>
      <c r="J3" s="1">
        <f t="shared" si="6"/>
        <v>-118</v>
      </c>
      <c r="K3" s="1" t="str">
        <f t="shared" si="7"/>
        <v>Under Forecast</v>
      </c>
      <c r="L3" s="1">
        <f>F3+J2</f>
        <v>-128</v>
      </c>
      <c r="M3" s="7">
        <f t="shared" ref="M3:M1201" si="10">AVERAGE($G$2:G3)</f>
        <v>64</v>
      </c>
      <c r="N3" s="7">
        <f t="shared" si="8"/>
        <v>-2</v>
      </c>
      <c r="O3" s="2" t="str">
        <f t="shared" si="9"/>
        <v>Acceptable</v>
      </c>
    </row>
    <row r="4">
      <c r="A4" s="1" t="s">
        <v>15</v>
      </c>
      <c r="B4" s="1" t="s">
        <v>16</v>
      </c>
      <c r="C4" s="1" t="s">
        <v>19</v>
      </c>
      <c r="D4" s="1">
        <v>1928.0</v>
      </c>
      <c r="E4" s="1">
        <v>1819.0</v>
      </c>
      <c r="F4" s="1">
        <f t="shared" si="2"/>
        <v>-109</v>
      </c>
      <c r="G4" s="1">
        <f t="shared" si="3"/>
        <v>109</v>
      </c>
      <c r="H4" s="6">
        <f t="shared" si="4"/>
        <v>0.05653526971</v>
      </c>
      <c r="I4" s="6">
        <f t="shared" si="5"/>
        <v>0.9434647303</v>
      </c>
      <c r="J4" s="1">
        <f t="shared" si="6"/>
        <v>-109</v>
      </c>
      <c r="K4" s="1" t="str">
        <f t="shared" si="7"/>
        <v>Under Forecast</v>
      </c>
      <c r="L4" s="1">
        <f>F4</f>
        <v>-109</v>
      </c>
      <c r="M4" s="7">
        <f t="shared" si="10"/>
        <v>79</v>
      </c>
      <c r="N4" s="7">
        <f t="shared" si="8"/>
        <v>-1.379746835</v>
      </c>
      <c r="O4" s="2" t="str">
        <f t="shared" si="9"/>
        <v>Acceptable</v>
      </c>
    </row>
    <row r="5">
      <c r="A5" s="1" t="s">
        <v>15</v>
      </c>
      <c r="B5" s="1" t="s">
        <v>16</v>
      </c>
      <c r="C5" s="1" t="s">
        <v>20</v>
      </c>
      <c r="D5" s="1">
        <v>2131.0</v>
      </c>
      <c r="E5" s="1">
        <v>1902.0</v>
      </c>
      <c r="F5" s="1">
        <f t="shared" si="2"/>
        <v>-229</v>
      </c>
      <c r="G5" s="1">
        <f t="shared" si="3"/>
        <v>229</v>
      </c>
      <c r="H5" s="6">
        <f t="shared" si="4"/>
        <v>0.1074612858</v>
      </c>
      <c r="I5" s="6">
        <f t="shared" si="5"/>
        <v>0.8925387142</v>
      </c>
      <c r="J5" s="1">
        <f t="shared" si="6"/>
        <v>-229</v>
      </c>
      <c r="K5" s="1" t="str">
        <f t="shared" si="7"/>
        <v>Under Forecast</v>
      </c>
      <c r="L5" s="1">
        <f>F5+J4</f>
        <v>-338</v>
      </c>
      <c r="M5" s="7">
        <f t="shared" si="10"/>
        <v>116.5</v>
      </c>
      <c r="N5" s="7">
        <f t="shared" si="8"/>
        <v>-2.901287554</v>
      </c>
      <c r="O5" s="2" t="str">
        <f t="shared" si="9"/>
        <v>Acceptable</v>
      </c>
    </row>
    <row r="6">
      <c r="A6" s="1" t="s">
        <v>15</v>
      </c>
      <c r="B6" s="1" t="s">
        <v>16</v>
      </c>
      <c r="C6" s="1" t="s">
        <v>21</v>
      </c>
      <c r="D6" s="1">
        <v>2387.0</v>
      </c>
      <c r="E6" s="1">
        <v>2098.0</v>
      </c>
      <c r="F6" s="1">
        <f t="shared" si="2"/>
        <v>-289</v>
      </c>
      <c r="G6" s="1">
        <f t="shared" si="3"/>
        <v>289</v>
      </c>
      <c r="H6" s="6">
        <f t="shared" si="4"/>
        <v>0.1210724759</v>
      </c>
      <c r="I6" s="6">
        <f t="shared" si="5"/>
        <v>0.8789275241</v>
      </c>
      <c r="J6" s="1">
        <f t="shared" si="6"/>
        <v>-289</v>
      </c>
      <c r="K6" s="1" t="str">
        <f t="shared" si="7"/>
        <v>Under Forecast</v>
      </c>
      <c r="L6" s="1">
        <f>F6</f>
        <v>-289</v>
      </c>
      <c r="M6" s="7">
        <f t="shared" si="10"/>
        <v>151</v>
      </c>
      <c r="N6" s="7">
        <f t="shared" si="8"/>
        <v>-1.913907285</v>
      </c>
      <c r="O6" s="2" t="str">
        <f t="shared" si="9"/>
        <v>Acceptable</v>
      </c>
    </row>
    <row r="7">
      <c r="A7" s="1" t="s">
        <v>15</v>
      </c>
      <c r="B7" s="1" t="s">
        <v>16</v>
      </c>
      <c r="C7" s="1" t="s">
        <v>22</v>
      </c>
      <c r="D7" s="1">
        <v>2519.0</v>
      </c>
      <c r="E7" s="1">
        <v>2569.0</v>
      </c>
      <c r="F7" s="1">
        <f t="shared" si="2"/>
        <v>50</v>
      </c>
      <c r="G7" s="1">
        <f t="shared" si="3"/>
        <v>50</v>
      </c>
      <c r="H7" s="6">
        <f t="shared" si="4"/>
        <v>0.01984914649</v>
      </c>
      <c r="I7" s="6">
        <f t="shared" si="5"/>
        <v>0.9801508535</v>
      </c>
      <c r="J7" s="1">
        <f t="shared" si="6"/>
        <v>50</v>
      </c>
      <c r="K7" s="1" t="str">
        <f t="shared" si="7"/>
        <v>Over Forecast</v>
      </c>
      <c r="L7" s="1">
        <f>F7+J6</f>
        <v>-239</v>
      </c>
      <c r="M7" s="7">
        <f t="shared" si="10"/>
        <v>134.1666667</v>
      </c>
      <c r="N7" s="7">
        <f t="shared" si="8"/>
        <v>-1.78136646</v>
      </c>
      <c r="O7" s="2" t="str">
        <f t="shared" si="9"/>
        <v>Acceptable</v>
      </c>
    </row>
    <row r="8">
      <c r="A8" s="1" t="s">
        <v>15</v>
      </c>
      <c r="B8" s="1" t="s">
        <v>16</v>
      </c>
      <c r="C8" s="1" t="s">
        <v>23</v>
      </c>
      <c r="D8" s="1">
        <v>2259.0</v>
      </c>
      <c r="E8" s="1">
        <v>2323.0</v>
      </c>
      <c r="F8" s="1">
        <f t="shared" si="2"/>
        <v>64</v>
      </c>
      <c r="G8" s="1">
        <f t="shared" si="3"/>
        <v>64</v>
      </c>
      <c r="H8" s="6">
        <f t="shared" si="4"/>
        <v>0.02833111996</v>
      </c>
      <c r="I8" s="6">
        <f t="shared" si="5"/>
        <v>0.97166888</v>
      </c>
      <c r="J8" s="1">
        <f t="shared" si="6"/>
        <v>64</v>
      </c>
      <c r="K8" s="1" t="str">
        <f t="shared" si="7"/>
        <v>Over Forecast</v>
      </c>
      <c r="L8" s="1">
        <f>F8</f>
        <v>64</v>
      </c>
      <c r="M8" s="7">
        <f t="shared" si="10"/>
        <v>124.1428571</v>
      </c>
      <c r="N8" s="7">
        <f t="shared" si="8"/>
        <v>0.5155350978</v>
      </c>
      <c r="O8" s="2" t="str">
        <f t="shared" si="9"/>
        <v>Acceptable</v>
      </c>
    </row>
    <row r="9">
      <c r="A9" s="1" t="s">
        <v>15</v>
      </c>
      <c r="B9" s="1" t="s">
        <v>16</v>
      </c>
      <c r="C9" s="1" t="s">
        <v>24</v>
      </c>
      <c r="D9" s="1">
        <v>2531.0</v>
      </c>
      <c r="E9" s="1">
        <v>2449.0</v>
      </c>
      <c r="F9" s="1">
        <f t="shared" si="2"/>
        <v>-82</v>
      </c>
      <c r="G9" s="1">
        <f t="shared" si="3"/>
        <v>82</v>
      </c>
      <c r="H9" s="6">
        <f t="shared" si="4"/>
        <v>0.03239826156</v>
      </c>
      <c r="I9" s="6">
        <f t="shared" si="5"/>
        <v>0.9676017384</v>
      </c>
      <c r="J9" s="1">
        <f t="shared" si="6"/>
        <v>-82</v>
      </c>
      <c r="K9" s="1" t="str">
        <f t="shared" si="7"/>
        <v>Under Forecast</v>
      </c>
      <c r="L9" s="1">
        <f>F9+J8</f>
        <v>-18</v>
      </c>
      <c r="M9" s="7">
        <f t="shared" si="10"/>
        <v>118.875</v>
      </c>
      <c r="N9" s="7">
        <f t="shared" si="8"/>
        <v>-0.1514195584</v>
      </c>
      <c r="O9" s="2" t="str">
        <f t="shared" si="9"/>
        <v>Acceptable</v>
      </c>
    </row>
    <row r="10">
      <c r="A10" s="1" t="s">
        <v>15</v>
      </c>
      <c r="B10" s="1" t="s">
        <v>16</v>
      </c>
      <c r="C10" s="1" t="s">
        <v>25</v>
      </c>
      <c r="D10" s="1">
        <v>2151.0</v>
      </c>
      <c r="E10" s="1">
        <v>1879.0</v>
      </c>
      <c r="F10" s="1">
        <f t="shared" si="2"/>
        <v>-272</v>
      </c>
      <c r="G10" s="1">
        <f t="shared" si="3"/>
        <v>272</v>
      </c>
      <c r="H10" s="6">
        <f t="shared" si="4"/>
        <v>0.1264528126</v>
      </c>
      <c r="I10" s="6">
        <f t="shared" si="5"/>
        <v>0.8735471874</v>
      </c>
      <c r="J10" s="1">
        <f t="shared" si="6"/>
        <v>-272</v>
      </c>
      <c r="K10" s="1" t="str">
        <f t="shared" si="7"/>
        <v>Under Forecast</v>
      </c>
      <c r="L10" s="1">
        <f>F10</f>
        <v>-272</v>
      </c>
      <c r="M10" s="7">
        <f t="shared" si="10"/>
        <v>135.8888889</v>
      </c>
      <c r="N10" s="7">
        <f t="shared" si="8"/>
        <v>-2.001635323</v>
      </c>
      <c r="O10" s="2" t="str">
        <f t="shared" si="9"/>
        <v>Acceptable</v>
      </c>
    </row>
    <row r="11">
      <c r="A11" s="1" t="s">
        <v>15</v>
      </c>
      <c r="B11" s="1" t="s">
        <v>16</v>
      </c>
      <c r="C11" s="1" t="s">
        <v>26</v>
      </c>
      <c r="D11" s="1">
        <v>2402.0</v>
      </c>
      <c r="E11" s="1">
        <v>2243.0</v>
      </c>
      <c r="F11" s="1">
        <f t="shared" si="2"/>
        <v>-159</v>
      </c>
      <c r="G11" s="1">
        <f t="shared" si="3"/>
        <v>159</v>
      </c>
      <c r="H11" s="6">
        <f t="shared" si="4"/>
        <v>0.06619483764</v>
      </c>
      <c r="I11" s="6">
        <f t="shared" si="5"/>
        <v>0.9338051624</v>
      </c>
      <c r="J11" s="1">
        <f t="shared" si="6"/>
        <v>-159</v>
      </c>
      <c r="K11" s="1" t="str">
        <f t="shared" si="7"/>
        <v>Under Forecast</v>
      </c>
      <c r="L11" s="1">
        <f>F11+J10</f>
        <v>-431</v>
      </c>
      <c r="M11" s="7">
        <f t="shared" si="10"/>
        <v>138.2</v>
      </c>
      <c r="N11" s="7">
        <f t="shared" si="8"/>
        <v>-3.118668596</v>
      </c>
      <c r="O11" s="2" t="str">
        <f t="shared" si="9"/>
        <v>Acceptable</v>
      </c>
    </row>
    <row r="12">
      <c r="A12" s="1" t="s">
        <v>15</v>
      </c>
      <c r="B12" s="1" t="s">
        <v>16</v>
      </c>
      <c r="C12" s="1" t="s">
        <v>27</v>
      </c>
      <c r="D12" s="1">
        <v>2177.0</v>
      </c>
      <c r="E12" s="1">
        <v>2233.0</v>
      </c>
      <c r="F12" s="1">
        <f t="shared" si="2"/>
        <v>56</v>
      </c>
      <c r="G12" s="1">
        <f t="shared" si="3"/>
        <v>56</v>
      </c>
      <c r="H12" s="6">
        <f t="shared" si="4"/>
        <v>0.02572347267</v>
      </c>
      <c r="I12" s="6">
        <f t="shared" si="5"/>
        <v>0.9742765273</v>
      </c>
      <c r="J12" s="1">
        <f t="shared" si="6"/>
        <v>56</v>
      </c>
      <c r="K12" s="1" t="str">
        <f t="shared" si="7"/>
        <v>Over Forecast</v>
      </c>
      <c r="L12" s="1">
        <f>F12</f>
        <v>56</v>
      </c>
      <c r="M12" s="7">
        <f t="shared" si="10"/>
        <v>130.7272727</v>
      </c>
      <c r="N12" s="7">
        <f t="shared" si="8"/>
        <v>0.4283727399</v>
      </c>
      <c r="O12" s="2" t="str">
        <f t="shared" si="9"/>
        <v>Acceptable</v>
      </c>
    </row>
    <row r="13">
      <c r="A13" s="1" t="s">
        <v>15</v>
      </c>
      <c r="B13" s="1" t="s">
        <v>16</v>
      </c>
      <c r="C13" s="1" t="s">
        <v>28</v>
      </c>
      <c r="D13" s="1">
        <v>2245.0</v>
      </c>
      <c r="E13" s="1">
        <v>1985.0</v>
      </c>
      <c r="F13" s="1">
        <f t="shared" si="2"/>
        <v>-260</v>
      </c>
      <c r="G13" s="1">
        <f t="shared" si="3"/>
        <v>260</v>
      </c>
      <c r="H13" s="6">
        <f t="shared" si="4"/>
        <v>0.1158129176</v>
      </c>
      <c r="I13" s="6">
        <f t="shared" si="5"/>
        <v>0.8841870824</v>
      </c>
      <c r="J13" s="1">
        <f t="shared" si="6"/>
        <v>-260</v>
      </c>
      <c r="K13" s="1" t="str">
        <f t="shared" si="7"/>
        <v>Under Forecast</v>
      </c>
      <c r="L13" s="1">
        <f>F13+J12</f>
        <v>-204</v>
      </c>
      <c r="M13" s="7">
        <f t="shared" si="10"/>
        <v>141.5</v>
      </c>
      <c r="N13" s="7">
        <f t="shared" si="8"/>
        <v>-1.441696113</v>
      </c>
      <c r="O13" s="2" t="str">
        <f t="shared" si="9"/>
        <v>Acceptable</v>
      </c>
    </row>
    <row r="14">
      <c r="A14" s="1" t="s">
        <v>29</v>
      </c>
      <c r="B14" s="1" t="s">
        <v>16</v>
      </c>
      <c r="C14" s="1" t="s">
        <v>17</v>
      </c>
      <c r="D14" s="1">
        <v>1670.0</v>
      </c>
      <c r="E14" s="1">
        <v>1611.0</v>
      </c>
      <c r="F14" s="1">
        <f t="shared" si="2"/>
        <v>-59</v>
      </c>
      <c r="G14" s="1">
        <f t="shared" si="3"/>
        <v>59</v>
      </c>
      <c r="H14" s="6">
        <f t="shared" si="4"/>
        <v>0.03532934132</v>
      </c>
      <c r="I14" s="6">
        <f t="shared" si="5"/>
        <v>0.9646706587</v>
      </c>
      <c r="J14" s="1">
        <f t="shared" si="6"/>
        <v>-59</v>
      </c>
      <c r="K14" s="1" t="str">
        <f t="shared" si="7"/>
        <v>Under Forecast</v>
      </c>
      <c r="L14" s="1">
        <f>F14</f>
        <v>-59</v>
      </c>
      <c r="M14" s="7">
        <f t="shared" si="10"/>
        <v>135.1538462</v>
      </c>
      <c r="N14" s="7">
        <f t="shared" si="8"/>
        <v>-0.4365395561</v>
      </c>
      <c r="O14" s="2" t="str">
        <f t="shared" si="9"/>
        <v>Acceptable</v>
      </c>
    </row>
    <row r="15">
      <c r="A15" s="1" t="s">
        <v>29</v>
      </c>
      <c r="B15" s="1" t="s">
        <v>16</v>
      </c>
      <c r="C15" s="1" t="s">
        <v>18</v>
      </c>
      <c r="D15" s="1">
        <v>1559.0</v>
      </c>
      <c r="E15" s="1">
        <v>1507.0</v>
      </c>
      <c r="F15" s="1">
        <f t="shared" si="2"/>
        <v>-52</v>
      </c>
      <c r="G15" s="1">
        <f t="shared" si="3"/>
        <v>52</v>
      </c>
      <c r="H15" s="6">
        <f t="shared" si="4"/>
        <v>0.03335471456</v>
      </c>
      <c r="I15" s="6">
        <f t="shared" si="5"/>
        <v>0.9666452854</v>
      </c>
      <c r="J15" s="1">
        <f t="shared" si="6"/>
        <v>-52</v>
      </c>
      <c r="K15" s="1" t="str">
        <f t="shared" si="7"/>
        <v>Under Forecast</v>
      </c>
      <c r="L15" s="1">
        <f>F15+J14</f>
        <v>-111</v>
      </c>
      <c r="M15" s="7">
        <f t="shared" si="10"/>
        <v>129.2142857</v>
      </c>
      <c r="N15" s="7">
        <f t="shared" si="8"/>
        <v>-0.8590381426</v>
      </c>
      <c r="O15" s="2" t="str">
        <f t="shared" si="9"/>
        <v>Acceptable</v>
      </c>
    </row>
    <row r="16">
      <c r="A16" s="1" t="s">
        <v>29</v>
      </c>
      <c r="B16" s="1" t="s">
        <v>16</v>
      </c>
      <c r="C16" s="1" t="s">
        <v>19</v>
      </c>
      <c r="D16" s="1">
        <v>1663.0</v>
      </c>
      <c r="E16" s="1">
        <v>1464.0</v>
      </c>
      <c r="F16" s="1">
        <f t="shared" si="2"/>
        <v>-199</v>
      </c>
      <c r="G16" s="1">
        <f t="shared" si="3"/>
        <v>199</v>
      </c>
      <c r="H16" s="6">
        <f t="shared" si="4"/>
        <v>0.1196632592</v>
      </c>
      <c r="I16" s="6">
        <f t="shared" si="5"/>
        <v>0.8803367408</v>
      </c>
      <c r="J16" s="1">
        <f t="shared" si="6"/>
        <v>-199</v>
      </c>
      <c r="K16" s="1" t="str">
        <f t="shared" si="7"/>
        <v>Under Forecast</v>
      </c>
      <c r="L16" s="1">
        <f>F16</f>
        <v>-199</v>
      </c>
      <c r="M16" s="7">
        <f t="shared" si="10"/>
        <v>133.8666667</v>
      </c>
      <c r="N16" s="7">
        <f t="shared" si="8"/>
        <v>-1.486553785</v>
      </c>
      <c r="O16" s="2" t="str">
        <f t="shared" si="9"/>
        <v>Acceptable</v>
      </c>
    </row>
    <row r="17">
      <c r="A17" s="1" t="s">
        <v>29</v>
      </c>
      <c r="B17" s="1" t="s">
        <v>16</v>
      </c>
      <c r="C17" s="1" t="s">
        <v>20</v>
      </c>
      <c r="D17" s="1">
        <v>1994.0</v>
      </c>
      <c r="E17" s="1">
        <v>2042.0</v>
      </c>
      <c r="F17" s="1">
        <f t="shared" si="2"/>
        <v>48</v>
      </c>
      <c r="G17" s="1">
        <f t="shared" si="3"/>
        <v>48</v>
      </c>
      <c r="H17" s="6">
        <f t="shared" si="4"/>
        <v>0.02407221665</v>
      </c>
      <c r="I17" s="6">
        <f t="shared" si="5"/>
        <v>0.9759277834</v>
      </c>
      <c r="J17" s="1">
        <f t="shared" si="6"/>
        <v>48</v>
      </c>
      <c r="K17" s="1" t="str">
        <f t="shared" si="7"/>
        <v>Over Forecast</v>
      </c>
      <c r="L17" s="1">
        <f>F17+J16</f>
        <v>-151</v>
      </c>
      <c r="M17" s="7">
        <f t="shared" si="10"/>
        <v>128.5</v>
      </c>
      <c r="N17" s="7">
        <f t="shared" si="8"/>
        <v>-1.175097276</v>
      </c>
      <c r="O17" s="2" t="str">
        <f t="shared" si="9"/>
        <v>Acceptable</v>
      </c>
    </row>
    <row r="18">
      <c r="A18" s="1" t="s">
        <v>29</v>
      </c>
      <c r="B18" s="1" t="s">
        <v>16</v>
      </c>
      <c r="C18" s="1" t="s">
        <v>21</v>
      </c>
      <c r="D18" s="1">
        <v>1994.0</v>
      </c>
      <c r="E18" s="1">
        <v>1831.0</v>
      </c>
      <c r="F18" s="1">
        <f t="shared" si="2"/>
        <v>-163</v>
      </c>
      <c r="G18" s="1">
        <f t="shared" si="3"/>
        <v>163</v>
      </c>
      <c r="H18" s="6">
        <f t="shared" si="4"/>
        <v>0.08174523571</v>
      </c>
      <c r="I18" s="6">
        <f t="shared" si="5"/>
        <v>0.9182547643</v>
      </c>
      <c r="J18" s="1">
        <f t="shared" si="6"/>
        <v>-163</v>
      </c>
      <c r="K18" s="1" t="str">
        <f t="shared" si="7"/>
        <v>Under Forecast</v>
      </c>
      <c r="L18" s="1">
        <f>F18</f>
        <v>-163</v>
      </c>
      <c r="M18" s="7">
        <f t="shared" si="10"/>
        <v>130.5294118</v>
      </c>
      <c r="N18" s="7">
        <f t="shared" si="8"/>
        <v>-1.248760703</v>
      </c>
      <c r="O18" s="2" t="str">
        <f t="shared" si="9"/>
        <v>Acceptable</v>
      </c>
    </row>
    <row r="19">
      <c r="A19" s="1" t="s">
        <v>29</v>
      </c>
      <c r="B19" s="1" t="s">
        <v>16</v>
      </c>
      <c r="C19" s="1" t="s">
        <v>22</v>
      </c>
      <c r="D19" s="1">
        <v>1755.0</v>
      </c>
      <c r="E19" s="1">
        <v>1718.0</v>
      </c>
      <c r="F19" s="1">
        <f t="shared" si="2"/>
        <v>-37</v>
      </c>
      <c r="G19" s="1">
        <f t="shared" si="3"/>
        <v>37</v>
      </c>
      <c r="H19" s="6">
        <f t="shared" si="4"/>
        <v>0.02108262108</v>
      </c>
      <c r="I19" s="6">
        <f t="shared" si="5"/>
        <v>0.9789173789</v>
      </c>
      <c r="J19" s="1">
        <f t="shared" si="6"/>
        <v>-37</v>
      </c>
      <c r="K19" s="1" t="str">
        <f t="shared" si="7"/>
        <v>Under Forecast</v>
      </c>
      <c r="L19" s="1">
        <f>F19+J18</f>
        <v>-200</v>
      </c>
      <c r="M19" s="7">
        <f t="shared" si="10"/>
        <v>125.3333333</v>
      </c>
      <c r="N19" s="7">
        <f t="shared" si="8"/>
        <v>-1.595744681</v>
      </c>
      <c r="O19" s="2" t="str">
        <f t="shared" si="9"/>
        <v>Acceptable</v>
      </c>
    </row>
    <row r="20">
      <c r="A20" s="1" t="s">
        <v>29</v>
      </c>
      <c r="B20" s="1" t="s">
        <v>16</v>
      </c>
      <c r="C20" s="1" t="s">
        <v>23</v>
      </c>
      <c r="D20" s="1">
        <v>1917.0</v>
      </c>
      <c r="E20" s="1">
        <v>1705.0</v>
      </c>
      <c r="F20" s="1">
        <f t="shared" si="2"/>
        <v>-212</v>
      </c>
      <c r="G20" s="1">
        <f t="shared" si="3"/>
        <v>212</v>
      </c>
      <c r="H20" s="6">
        <f t="shared" si="4"/>
        <v>0.1105894627</v>
      </c>
      <c r="I20" s="6">
        <f t="shared" si="5"/>
        <v>0.8894105373</v>
      </c>
      <c r="J20" s="1">
        <f t="shared" si="6"/>
        <v>-212</v>
      </c>
      <c r="K20" s="1" t="str">
        <f t="shared" si="7"/>
        <v>Under Forecast</v>
      </c>
      <c r="L20" s="1">
        <f>F20</f>
        <v>-212</v>
      </c>
      <c r="M20" s="7">
        <f t="shared" si="10"/>
        <v>129.8947368</v>
      </c>
      <c r="N20" s="7">
        <f t="shared" si="8"/>
        <v>-1.632090762</v>
      </c>
      <c r="O20" s="2" t="str">
        <f t="shared" si="9"/>
        <v>Acceptable</v>
      </c>
    </row>
    <row r="21" ht="15.75" customHeight="1">
      <c r="A21" s="1" t="s">
        <v>29</v>
      </c>
      <c r="B21" s="1" t="s">
        <v>16</v>
      </c>
      <c r="C21" s="1" t="s">
        <v>24</v>
      </c>
      <c r="D21" s="1">
        <v>1865.0</v>
      </c>
      <c r="E21" s="1">
        <v>1632.0</v>
      </c>
      <c r="F21" s="1">
        <f t="shared" si="2"/>
        <v>-233</v>
      </c>
      <c r="G21" s="1">
        <f t="shared" si="3"/>
        <v>233</v>
      </c>
      <c r="H21" s="6">
        <f t="shared" si="4"/>
        <v>0.1249329759</v>
      </c>
      <c r="I21" s="6">
        <f t="shared" si="5"/>
        <v>0.8750670241</v>
      </c>
      <c r="J21" s="1">
        <f t="shared" si="6"/>
        <v>-233</v>
      </c>
      <c r="K21" s="1" t="str">
        <f t="shared" si="7"/>
        <v>Under Forecast</v>
      </c>
      <c r="L21" s="1">
        <f>F21+J20</f>
        <v>-445</v>
      </c>
      <c r="M21" s="7">
        <f t="shared" si="10"/>
        <v>135.05</v>
      </c>
      <c r="N21" s="7">
        <f t="shared" si="8"/>
        <v>-3.295075898</v>
      </c>
      <c r="O21" s="2" t="str">
        <f t="shared" si="9"/>
        <v>Acceptable</v>
      </c>
    </row>
    <row r="22" ht="15.75" customHeight="1">
      <c r="A22" s="1" t="s">
        <v>29</v>
      </c>
      <c r="B22" s="1" t="s">
        <v>16</v>
      </c>
      <c r="C22" s="1" t="s">
        <v>25</v>
      </c>
      <c r="D22" s="1">
        <v>1904.0</v>
      </c>
      <c r="E22" s="1">
        <v>1735.0</v>
      </c>
      <c r="F22" s="1">
        <f t="shared" si="2"/>
        <v>-169</v>
      </c>
      <c r="G22" s="1">
        <f t="shared" si="3"/>
        <v>169</v>
      </c>
      <c r="H22" s="6">
        <f t="shared" si="4"/>
        <v>0.0887605042</v>
      </c>
      <c r="I22" s="6">
        <f t="shared" si="5"/>
        <v>0.9112394958</v>
      </c>
      <c r="J22" s="1">
        <f t="shared" si="6"/>
        <v>-169</v>
      </c>
      <c r="K22" s="1" t="str">
        <f t="shared" si="7"/>
        <v>Under Forecast</v>
      </c>
      <c r="L22" s="1">
        <f>F22</f>
        <v>-169</v>
      </c>
      <c r="M22" s="7">
        <f t="shared" si="10"/>
        <v>136.6666667</v>
      </c>
      <c r="N22" s="7">
        <f t="shared" si="8"/>
        <v>-1.236585366</v>
      </c>
      <c r="O22" s="2" t="str">
        <f t="shared" si="9"/>
        <v>Acceptable</v>
      </c>
    </row>
    <row r="23" ht="15.75" customHeight="1">
      <c r="A23" s="1" t="s">
        <v>29</v>
      </c>
      <c r="B23" s="1" t="s">
        <v>16</v>
      </c>
      <c r="C23" s="1" t="s">
        <v>26</v>
      </c>
      <c r="D23" s="1">
        <v>1777.0</v>
      </c>
      <c r="E23" s="1">
        <v>1634.0</v>
      </c>
      <c r="F23" s="1">
        <f t="shared" si="2"/>
        <v>-143</v>
      </c>
      <c r="G23" s="1">
        <f t="shared" si="3"/>
        <v>143</v>
      </c>
      <c r="H23" s="6">
        <f t="shared" si="4"/>
        <v>0.08047270681</v>
      </c>
      <c r="I23" s="6">
        <f t="shared" si="5"/>
        <v>0.9195272932</v>
      </c>
      <c r="J23" s="1">
        <f t="shared" si="6"/>
        <v>-143</v>
      </c>
      <c r="K23" s="1" t="str">
        <f t="shared" si="7"/>
        <v>Under Forecast</v>
      </c>
      <c r="L23" s="1">
        <f>F23+J22</f>
        <v>-312</v>
      </c>
      <c r="M23" s="7">
        <f t="shared" si="10"/>
        <v>136.9545455</v>
      </c>
      <c r="N23" s="7">
        <f t="shared" si="8"/>
        <v>-2.278128112</v>
      </c>
      <c r="O23" s="2" t="str">
        <f t="shared" si="9"/>
        <v>Acceptable</v>
      </c>
    </row>
    <row r="24" ht="15.75" customHeight="1">
      <c r="A24" s="1" t="s">
        <v>29</v>
      </c>
      <c r="B24" s="1" t="s">
        <v>16</v>
      </c>
      <c r="C24" s="1" t="s">
        <v>27</v>
      </c>
      <c r="D24" s="1">
        <v>1690.0</v>
      </c>
      <c r="E24" s="1">
        <v>1618.0</v>
      </c>
      <c r="F24" s="1">
        <f t="shared" si="2"/>
        <v>-72</v>
      </c>
      <c r="G24" s="1">
        <f t="shared" si="3"/>
        <v>72</v>
      </c>
      <c r="H24" s="6">
        <f t="shared" si="4"/>
        <v>0.0426035503</v>
      </c>
      <c r="I24" s="6">
        <f t="shared" si="5"/>
        <v>0.9573964497</v>
      </c>
      <c r="J24" s="1">
        <f t="shared" si="6"/>
        <v>-72</v>
      </c>
      <c r="K24" s="1" t="str">
        <f t="shared" si="7"/>
        <v>Under Forecast</v>
      </c>
      <c r="L24" s="1">
        <f>F24</f>
        <v>-72</v>
      </c>
      <c r="M24" s="7">
        <f t="shared" si="10"/>
        <v>134.1304348</v>
      </c>
      <c r="N24" s="7">
        <f t="shared" si="8"/>
        <v>-0.5367909238</v>
      </c>
      <c r="O24" s="2" t="str">
        <f t="shared" si="9"/>
        <v>Acceptable</v>
      </c>
    </row>
    <row r="25" ht="15.75" customHeight="1">
      <c r="A25" s="1" t="s">
        <v>29</v>
      </c>
      <c r="B25" s="1" t="s">
        <v>16</v>
      </c>
      <c r="C25" s="1" t="s">
        <v>28</v>
      </c>
      <c r="D25" s="1">
        <v>1526.0</v>
      </c>
      <c r="E25" s="1">
        <v>1564.0</v>
      </c>
      <c r="F25" s="1">
        <f t="shared" si="2"/>
        <v>38</v>
      </c>
      <c r="G25" s="1">
        <f t="shared" si="3"/>
        <v>38</v>
      </c>
      <c r="H25" s="6">
        <f t="shared" si="4"/>
        <v>0.0249017038</v>
      </c>
      <c r="I25" s="6">
        <f t="shared" si="5"/>
        <v>0.9750982962</v>
      </c>
      <c r="J25" s="1">
        <f t="shared" si="6"/>
        <v>38</v>
      </c>
      <c r="K25" s="1" t="str">
        <f t="shared" si="7"/>
        <v>Over Forecast</v>
      </c>
      <c r="L25" s="1">
        <f>F25+J24</f>
        <v>-34</v>
      </c>
      <c r="M25" s="7">
        <f t="shared" si="10"/>
        <v>130.125</v>
      </c>
      <c r="N25" s="7">
        <f t="shared" si="8"/>
        <v>-0.2612872238</v>
      </c>
      <c r="O25" s="2" t="str">
        <f t="shared" si="9"/>
        <v>Acceptable</v>
      </c>
    </row>
    <row r="26" ht="15.75" customHeight="1">
      <c r="A26" s="1" t="s">
        <v>30</v>
      </c>
      <c r="B26" s="1" t="s">
        <v>16</v>
      </c>
      <c r="C26" s="1" t="s">
        <v>17</v>
      </c>
      <c r="D26" s="1">
        <v>1433.0</v>
      </c>
      <c r="E26" s="1">
        <v>1530.0</v>
      </c>
      <c r="F26" s="1">
        <f t="shared" si="2"/>
        <v>97</v>
      </c>
      <c r="G26" s="1">
        <f t="shared" si="3"/>
        <v>97</v>
      </c>
      <c r="H26" s="6">
        <f t="shared" si="4"/>
        <v>0.0676901605</v>
      </c>
      <c r="I26" s="6">
        <f t="shared" si="5"/>
        <v>0.9323098395</v>
      </c>
      <c r="J26" s="1">
        <f t="shared" si="6"/>
        <v>97</v>
      </c>
      <c r="K26" s="1" t="str">
        <f t="shared" si="7"/>
        <v>Over Forecast</v>
      </c>
      <c r="L26" s="1">
        <f>F26</f>
        <v>97</v>
      </c>
      <c r="M26" s="7">
        <f t="shared" si="10"/>
        <v>128.8</v>
      </c>
      <c r="N26" s="7">
        <f t="shared" si="8"/>
        <v>0.7531055901</v>
      </c>
      <c r="O26" s="2" t="str">
        <f t="shared" si="9"/>
        <v>Acceptable</v>
      </c>
    </row>
    <row r="27" ht="15.75" customHeight="1">
      <c r="A27" s="1" t="s">
        <v>30</v>
      </c>
      <c r="B27" s="1" t="s">
        <v>16</v>
      </c>
      <c r="C27" s="1" t="s">
        <v>18</v>
      </c>
      <c r="D27" s="1">
        <v>1591.0</v>
      </c>
      <c r="E27" s="1">
        <v>1546.0</v>
      </c>
      <c r="F27" s="1">
        <f t="shared" si="2"/>
        <v>-45</v>
      </c>
      <c r="G27" s="1">
        <f t="shared" si="3"/>
        <v>45</v>
      </c>
      <c r="H27" s="6">
        <f t="shared" si="4"/>
        <v>0.02828409805</v>
      </c>
      <c r="I27" s="6">
        <f t="shared" si="5"/>
        <v>0.9717159019</v>
      </c>
      <c r="J27" s="1">
        <f t="shared" si="6"/>
        <v>-45</v>
      </c>
      <c r="K27" s="1" t="str">
        <f t="shared" si="7"/>
        <v>Under Forecast</v>
      </c>
      <c r="L27" s="1">
        <f>F27+J26</f>
        <v>52</v>
      </c>
      <c r="M27" s="7">
        <f t="shared" si="10"/>
        <v>125.5769231</v>
      </c>
      <c r="N27" s="7">
        <f t="shared" si="8"/>
        <v>0.4140888208</v>
      </c>
      <c r="O27" s="2" t="str">
        <f t="shared" si="9"/>
        <v>Acceptable</v>
      </c>
    </row>
    <row r="28" ht="15.75" customHeight="1">
      <c r="A28" s="1" t="s">
        <v>30</v>
      </c>
      <c r="B28" s="1" t="s">
        <v>16</v>
      </c>
      <c r="C28" s="1" t="s">
        <v>19</v>
      </c>
      <c r="D28" s="1">
        <v>1619.0</v>
      </c>
      <c r="E28" s="1">
        <v>1624.0</v>
      </c>
      <c r="F28" s="1">
        <f t="shared" si="2"/>
        <v>5</v>
      </c>
      <c r="G28" s="1">
        <f t="shared" si="3"/>
        <v>5</v>
      </c>
      <c r="H28" s="6">
        <f t="shared" si="4"/>
        <v>0.003088326127</v>
      </c>
      <c r="I28" s="6">
        <f t="shared" si="5"/>
        <v>0.9969116739</v>
      </c>
      <c r="J28" s="1">
        <f t="shared" si="6"/>
        <v>5</v>
      </c>
      <c r="K28" s="1" t="str">
        <f t="shared" si="7"/>
        <v>Over Forecast</v>
      </c>
      <c r="L28" s="1">
        <f>F28</f>
        <v>5</v>
      </c>
      <c r="M28" s="7">
        <f t="shared" si="10"/>
        <v>121.1111111</v>
      </c>
      <c r="N28" s="7">
        <f t="shared" si="8"/>
        <v>0.04128440367</v>
      </c>
      <c r="O28" s="2" t="str">
        <f t="shared" si="9"/>
        <v>Acceptable</v>
      </c>
    </row>
    <row r="29" ht="15.75" customHeight="1">
      <c r="A29" s="1" t="s">
        <v>30</v>
      </c>
      <c r="B29" s="1" t="s">
        <v>16</v>
      </c>
      <c r="C29" s="1" t="s">
        <v>20</v>
      </c>
      <c r="D29" s="1">
        <v>1810.0</v>
      </c>
      <c r="E29" s="1">
        <v>1909.0</v>
      </c>
      <c r="F29" s="1">
        <f t="shared" si="2"/>
        <v>99</v>
      </c>
      <c r="G29" s="1">
        <f t="shared" si="3"/>
        <v>99</v>
      </c>
      <c r="H29" s="6">
        <f t="shared" si="4"/>
        <v>0.0546961326</v>
      </c>
      <c r="I29" s="6">
        <f t="shared" si="5"/>
        <v>0.9453038674</v>
      </c>
      <c r="J29" s="1">
        <f t="shared" si="6"/>
        <v>99</v>
      </c>
      <c r="K29" s="1" t="str">
        <f t="shared" si="7"/>
        <v>Over Forecast</v>
      </c>
      <c r="L29" s="1">
        <f>F29+J28</f>
        <v>104</v>
      </c>
      <c r="M29" s="7">
        <f t="shared" si="10"/>
        <v>120.3214286</v>
      </c>
      <c r="N29" s="7">
        <f t="shared" si="8"/>
        <v>0.8643514396</v>
      </c>
      <c r="O29" s="2" t="str">
        <f t="shared" si="9"/>
        <v>Acceptable</v>
      </c>
    </row>
    <row r="30" ht="15.75" customHeight="1">
      <c r="A30" s="1" t="s">
        <v>30</v>
      </c>
      <c r="B30" s="1" t="s">
        <v>16</v>
      </c>
      <c r="C30" s="1" t="s">
        <v>21</v>
      </c>
      <c r="D30" s="1">
        <v>1803.0</v>
      </c>
      <c r="E30" s="1">
        <v>1814.0</v>
      </c>
      <c r="F30" s="1">
        <f t="shared" si="2"/>
        <v>11</v>
      </c>
      <c r="G30" s="1">
        <f t="shared" si="3"/>
        <v>11</v>
      </c>
      <c r="H30" s="6">
        <f t="shared" si="4"/>
        <v>0.006100942873</v>
      </c>
      <c r="I30" s="6">
        <f t="shared" si="5"/>
        <v>0.9938990571</v>
      </c>
      <c r="J30" s="1">
        <f t="shared" si="6"/>
        <v>11</v>
      </c>
      <c r="K30" s="1" t="str">
        <f t="shared" si="7"/>
        <v>Over Forecast</v>
      </c>
      <c r="L30" s="1">
        <f>F30</f>
        <v>11</v>
      </c>
      <c r="M30" s="7">
        <f t="shared" si="10"/>
        <v>116.5517241</v>
      </c>
      <c r="N30" s="7">
        <f t="shared" si="8"/>
        <v>0.09437869822</v>
      </c>
      <c r="O30" s="2" t="str">
        <f t="shared" si="9"/>
        <v>Acceptable</v>
      </c>
    </row>
    <row r="31" ht="15.75" customHeight="1">
      <c r="A31" s="1" t="s">
        <v>30</v>
      </c>
      <c r="B31" s="1" t="s">
        <v>16</v>
      </c>
      <c r="C31" s="1" t="s">
        <v>22</v>
      </c>
      <c r="D31" s="1">
        <v>1794.0</v>
      </c>
      <c r="E31" s="1">
        <v>1927.0</v>
      </c>
      <c r="F31" s="1">
        <f t="shared" si="2"/>
        <v>133</v>
      </c>
      <c r="G31" s="1">
        <f t="shared" si="3"/>
        <v>133</v>
      </c>
      <c r="H31" s="6">
        <f t="shared" si="4"/>
        <v>0.07413600892</v>
      </c>
      <c r="I31" s="6">
        <f t="shared" si="5"/>
        <v>0.9258639911</v>
      </c>
      <c r="J31" s="1">
        <f t="shared" si="6"/>
        <v>133</v>
      </c>
      <c r="K31" s="1" t="str">
        <f t="shared" si="7"/>
        <v>Over Forecast</v>
      </c>
      <c r="L31" s="1">
        <f>F31+J30</f>
        <v>144</v>
      </c>
      <c r="M31" s="7">
        <f t="shared" si="10"/>
        <v>117.1</v>
      </c>
      <c r="N31" s="7">
        <f t="shared" si="8"/>
        <v>1.22971819</v>
      </c>
      <c r="O31" s="2" t="str">
        <f t="shared" si="9"/>
        <v>Acceptable</v>
      </c>
    </row>
    <row r="32" ht="15.75" customHeight="1">
      <c r="A32" s="1" t="s">
        <v>30</v>
      </c>
      <c r="B32" s="1" t="s">
        <v>16</v>
      </c>
      <c r="C32" s="1" t="s">
        <v>23</v>
      </c>
      <c r="D32" s="1">
        <v>1849.0</v>
      </c>
      <c r="E32" s="1">
        <v>1782.0</v>
      </c>
      <c r="F32" s="1">
        <f t="shared" si="2"/>
        <v>-67</v>
      </c>
      <c r="G32" s="1">
        <f t="shared" si="3"/>
        <v>67</v>
      </c>
      <c r="H32" s="6">
        <f t="shared" si="4"/>
        <v>0.03623580314</v>
      </c>
      <c r="I32" s="6">
        <f t="shared" si="5"/>
        <v>0.9637641969</v>
      </c>
      <c r="J32" s="1">
        <f t="shared" si="6"/>
        <v>-67</v>
      </c>
      <c r="K32" s="1" t="str">
        <f t="shared" si="7"/>
        <v>Under Forecast</v>
      </c>
      <c r="L32" s="1">
        <f>F32</f>
        <v>-67</v>
      </c>
      <c r="M32" s="7">
        <f t="shared" si="10"/>
        <v>115.483871</v>
      </c>
      <c r="N32" s="7">
        <f t="shared" si="8"/>
        <v>-0.5801675978</v>
      </c>
      <c r="O32" s="2" t="str">
        <f t="shared" si="9"/>
        <v>Acceptable</v>
      </c>
    </row>
    <row r="33" ht="15.75" customHeight="1">
      <c r="A33" s="1" t="s">
        <v>30</v>
      </c>
      <c r="B33" s="1" t="s">
        <v>16</v>
      </c>
      <c r="C33" s="1" t="s">
        <v>24</v>
      </c>
      <c r="D33" s="1">
        <v>1688.0</v>
      </c>
      <c r="E33" s="1">
        <v>1597.0</v>
      </c>
      <c r="F33" s="1">
        <f t="shared" si="2"/>
        <v>-91</v>
      </c>
      <c r="G33" s="1">
        <f t="shared" si="3"/>
        <v>91</v>
      </c>
      <c r="H33" s="6">
        <f t="shared" si="4"/>
        <v>0.05390995261</v>
      </c>
      <c r="I33" s="6">
        <f t="shared" si="5"/>
        <v>0.9460900474</v>
      </c>
      <c r="J33" s="1">
        <f t="shared" si="6"/>
        <v>-91</v>
      </c>
      <c r="K33" s="1" t="str">
        <f t="shared" si="7"/>
        <v>Under Forecast</v>
      </c>
      <c r="L33" s="1">
        <f>F33+J32</f>
        <v>-158</v>
      </c>
      <c r="M33" s="7">
        <f t="shared" si="10"/>
        <v>114.71875</v>
      </c>
      <c r="N33" s="7">
        <f t="shared" si="8"/>
        <v>-1.377281395</v>
      </c>
      <c r="O33" s="2" t="str">
        <f t="shared" si="9"/>
        <v>Acceptable</v>
      </c>
    </row>
    <row r="34" ht="15.75" customHeight="1">
      <c r="A34" s="1" t="s">
        <v>30</v>
      </c>
      <c r="B34" s="1" t="s">
        <v>16</v>
      </c>
      <c r="C34" s="1" t="s">
        <v>25</v>
      </c>
      <c r="D34" s="1">
        <v>1513.0</v>
      </c>
      <c r="E34" s="1">
        <v>1494.0</v>
      </c>
      <c r="F34" s="1">
        <f t="shared" si="2"/>
        <v>-19</v>
      </c>
      <c r="G34" s="1">
        <f t="shared" si="3"/>
        <v>19</v>
      </c>
      <c r="H34" s="6">
        <f t="shared" si="4"/>
        <v>0.01255783212</v>
      </c>
      <c r="I34" s="6">
        <f t="shared" si="5"/>
        <v>0.9874421679</v>
      </c>
      <c r="J34" s="1">
        <f t="shared" si="6"/>
        <v>-19</v>
      </c>
      <c r="K34" s="1" t="str">
        <f t="shared" si="7"/>
        <v>Under Forecast</v>
      </c>
      <c r="L34" s="1">
        <f>F34</f>
        <v>-19</v>
      </c>
      <c r="M34" s="7">
        <f t="shared" si="10"/>
        <v>111.8181818</v>
      </c>
      <c r="N34" s="7">
        <f t="shared" si="8"/>
        <v>-0.1699186992</v>
      </c>
      <c r="O34" s="2" t="str">
        <f t="shared" si="9"/>
        <v>Acceptable</v>
      </c>
    </row>
    <row r="35" ht="15.75" customHeight="1">
      <c r="A35" s="1" t="s">
        <v>30</v>
      </c>
      <c r="B35" s="1" t="s">
        <v>16</v>
      </c>
      <c r="C35" s="1" t="s">
        <v>26</v>
      </c>
      <c r="D35" s="1">
        <v>1620.0</v>
      </c>
      <c r="E35" s="1">
        <v>1566.0</v>
      </c>
      <c r="F35" s="1">
        <f t="shared" si="2"/>
        <v>-54</v>
      </c>
      <c r="G35" s="1">
        <f t="shared" si="3"/>
        <v>54</v>
      </c>
      <c r="H35" s="6">
        <f t="shared" si="4"/>
        <v>0.03333333333</v>
      </c>
      <c r="I35" s="6">
        <f t="shared" si="5"/>
        <v>0.9666666667</v>
      </c>
      <c r="J35" s="1">
        <f t="shared" si="6"/>
        <v>-54</v>
      </c>
      <c r="K35" s="1" t="str">
        <f t="shared" si="7"/>
        <v>Under Forecast</v>
      </c>
      <c r="L35" s="1">
        <f>F35+J34</f>
        <v>-73</v>
      </c>
      <c r="M35" s="7">
        <f t="shared" si="10"/>
        <v>110.1176471</v>
      </c>
      <c r="N35" s="7">
        <f t="shared" si="8"/>
        <v>-0.6629273504</v>
      </c>
      <c r="O35" s="2" t="str">
        <f t="shared" si="9"/>
        <v>Acceptable</v>
      </c>
    </row>
    <row r="36" ht="15.75" customHeight="1">
      <c r="A36" s="1" t="s">
        <v>30</v>
      </c>
      <c r="B36" s="1" t="s">
        <v>16</v>
      </c>
      <c r="C36" s="1" t="s">
        <v>27</v>
      </c>
      <c r="D36" s="1">
        <v>1476.0</v>
      </c>
      <c r="E36" s="1">
        <v>1404.0</v>
      </c>
      <c r="F36" s="1">
        <f t="shared" si="2"/>
        <v>-72</v>
      </c>
      <c r="G36" s="1">
        <f t="shared" si="3"/>
        <v>72</v>
      </c>
      <c r="H36" s="6">
        <f t="shared" si="4"/>
        <v>0.0487804878</v>
      </c>
      <c r="I36" s="6">
        <f t="shared" si="5"/>
        <v>0.9512195122</v>
      </c>
      <c r="J36" s="1">
        <f t="shared" si="6"/>
        <v>-72</v>
      </c>
      <c r="K36" s="1" t="str">
        <f t="shared" si="7"/>
        <v>Under Forecast</v>
      </c>
      <c r="L36" s="1">
        <f>F36</f>
        <v>-72</v>
      </c>
      <c r="M36" s="7">
        <f t="shared" si="10"/>
        <v>109.0285714</v>
      </c>
      <c r="N36" s="7">
        <f t="shared" si="8"/>
        <v>-0.6603773585</v>
      </c>
      <c r="O36" s="2" t="str">
        <f t="shared" si="9"/>
        <v>Acceptable</v>
      </c>
    </row>
    <row r="37" ht="15.75" customHeight="1">
      <c r="A37" s="1" t="s">
        <v>30</v>
      </c>
      <c r="B37" s="1" t="s">
        <v>16</v>
      </c>
      <c r="C37" s="1" t="s">
        <v>28</v>
      </c>
      <c r="D37" s="1">
        <v>1665.0</v>
      </c>
      <c r="E37" s="1">
        <v>1742.0</v>
      </c>
      <c r="F37" s="1">
        <f t="shared" si="2"/>
        <v>77</v>
      </c>
      <c r="G37" s="1">
        <f t="shared" si="3"/>
        <v>77</v>
      </c>
      <c r="H37" s="6">
        <f t="shared" si="4"/>
        <v>0.04624624625</v>
      </c>
      <c r="I37" s="6">
        <f t="shared" si="5"/>
        <v>0.9537537538</v>
      </c>
      <c r="J37" s="1">
        <f t="shared" si="6"/>
        <v>77</v>
      </c>
      <c r="K37" s="1" t="str">
        <f t="shared" si="7"/>
        <v>Over Forecast</v>
      </c>
      <c r="L37" s="1">
        <f>F37+J36</f>
        <v>5</v>
      </c>
      <c r="M37" s="7">
        <f t="shared" si="10"/>
        <v>108.1388889</v>
      </c>
      <c r="N37" s="7">
        <f t="shared" si="8"/>
        <v>0.04623683535</v>
      </c>
      <c r="O37" s="2" t="str">
        <f t="shared" si="9"/>
        <v>Acceptable</v>
      </c>
    </row>
    <row r="38" ht="15.75" customHeight="1">
      <c r="A38" s="1" t="s">
        <v>31</v>
      </c>
      <c r="B38" s="1" t="s">
        <v>16</v>
      </c>
      <c r="C38" s="1" t="s">
        <v>17</v>
      </c>
      <c r="D38" s="1">
        <v>1079.0</v>
      </c>
      <c r="E38" s="1">
        <v>980.0</v>
      </c>
      <c r="F38" s="1">
        <f t="shared" si="2"/>
        <v>-99</v>
      </c>
      <c r="G38" s="1">
        <f t="shared" si="3"/>
        <v>99</v>
      </c>
      <c r="H38" s="6">
        <f t="shared" si="4"/>
        <v>0.09175162187</v>
      </c>
      <c r="I38" s="6">
        <f t="shared" si="5"/>
        <v>0.9082483781</v>
      </c>
      <c r="J38" s="1">
        <f t="shared" si="6"/>
        <v>-99</v>
      </c>
      <c r="K38" s="1" t="str">
        <f t="shared" si="7"/>
        <v>Under Forecast</v>
      </c>
      <c r="L38" s="1">
        <f>F38</f>
        <v>-99</v>
      </c>
      <c r="M38" s="7">
        <f t="shared" si="10"/>
        <v>107.8918919</v>
      </c>
      <c r="N38" s="7">
        <f t="shared" si="8"/>
        <v>-0.9175851703</v>
      </c>
      <c r="O38" s="2" t="str">
        <f t="shared" si="9"/>
        <v>Acceptable</v>
      </c>
    </row>
    <row r="39" ht="15.75" customHeight="1">
      <c r="A39" s="1" t="s">
        <v>31</v>
      </c>
      <c r="B39" s="1" t="s">
        <v>16</v>
      </c>
      <c r="C39" s="1" t="s">
        <v>18</v>
      </c>
      <c r="D39" s="1">
        <v>1220.0</v>
      </c>
      <c r="E39" s="1">
        <v>1207.0</v>
      </c>
      <c r="F39" s="1">
        <f t="shared" si="2"/>
        <v>-13</v>
      </c>
      <c r="G39" s="1">
        <f t="shared" si="3"/>
        <v>13</v>
      </c>
      <c r="H39" s="6">
        <f t="shared" si="4"/>
        <v>0.0106557377</v>
      </c>
      <c r="I39" s="6">
        <f t="shared" si="5"/>
        <v>0.9893442623</v>
      </c>
      <c r="J39" s="1">
        <f t="shared" si="6"/>
        <v>-13</v>
      </c>
      <c r="K39" s="1" t="str">
        <f t="shared" si="7"/>
        <v>Under Forecast</v>
      </c>
      <c r="L39" s="1">
        <f>F39+J38</f>
        <v>-112</v>
      </c>
      <c r="M39" s="7">
        <f t="shared" si="10"/>
        <v>105.3947368</v>
      </c>
      <c r="N39" s="7">
        <f t="shared" si="8"/>
        <v>-1.06267166</v>
      </c>
      <c r="O39" s="2" t="str">
        <f t="shared" si="9"/>
        <v>Acceptable</v>
      </c>
    </row>
    <row r="40" ht="15.75" customHeight="1">
      <c r="A40" s="1" t="s">
        <v>31</v>
      </c>
      <c r="B40" s="1" t="s">
        <v>16</v>
      </c>
      <c r="C40" s="1" t="s">
        <v>19</v>
      </c>
      <c r="D40" s="1">
        <v>1136.0</v>
      </c>
      <c r="E40" s="1">
        <v>1022.0</v>
      </c>
      <c r="F40" s="1">
        <f t="shared" si="2"/>
        <v>-114</v>
      </c>
      <c r="G40" s="1">
        <f t="shared" si="3"/>
        <v>114</v>
      </c>
      <c r="H40" s="6">
        <f t="shared" si="4"/>
        <v>0.1003521127</v>
      </c>
      <c r="I40" s="6">
        <f t="shared" si="5"/>
        <v>0.8996478873</v>
      </c>
      <c r="J40" s="1">
        <f t="shared" si="6"/>
        <v>-114</v>
      </c>
      <c r="K40" s="1" t="str">
        <f t="shared" si="7"/>
        <v>Under Forecast</v>
      </c>
      <c r="L40" s="1">
        <f>F40</f>
        <v>-114</v>
      </c>
      <c r="M40" s="7">
        <f t="shared" si="10"/>
        <v>105.6153846</v>
      </c>
      <c r="N40" s="7">
        <f t="shared" si="8"/>
        <v>-1.079388201</v>
      </c>
      <c r="O40" s="2" t="str">
        <f t="shared" si="9"/>
        <v>Acceptable</v>
      </c>
    </row>
    <row r="41" ht="15.75" customHeight="1">
      <c r="A41" s="1" t="s">
        <v>31</v>
      </c>
      <c r="B41" s="1" t="s">
        <v>16</v>
      </c>
      <c r="C41" s="1" t="s">
        <v>20</v>
      </c>
      <c r="D41" s="1">
        <v>1156.0</v>
      </c>
      <c r="E41" s="1">
        <v>1088.0</v>
      </c>
      <c r="F41" s="1">
        <f t="shared" si="2"/>
        <v>-68</v>
      </c>
      <c r="G41" s="1">
        <f t="shared" si="3"/>
        <v>68</v>
      </c>
      <c r="H41" s="6">
        <f t="shared" si="4"/>
        <v>0.05882352941</v>
      </c>
      <c r="I41" s="6">
        <f t="shared" si="5"/>
        <v>0.9411764706</v>
      </c>
      <c r="J41" s="1">
        <f t="shared" si="6"/>
        <v>-68</v>
      </c>
      <c r="K41" s="1" t="str">
        <f t="shared" si="7"/>
        <v>Under Forecast</v>
      </c>
      <c r="L41" s="1">
        <f>F41+J40</f>
        <v>-182</v>
      </c>
      <c r="M41" s="7">
        <f t="shared" si="10"/>
        <v>104.675</v>
      </c>
      <c r="N41" s="7">
        <f t="shared" si="8"/>
        <v>-1.73871507</v>
      </c>
      <c r="O41" s="2" t="str">
        <f t="shared" si="9"/>
        <v>Acceptable</v>
      </c>
    </row>
    <row r="42" ht="15.75" customHeight="1">
      <c r="A42" s="1" t="s">
        <v>31</v>
      </c>
      <c r="B42" s="1" t="s">
        <v>16</v>
      </c>
      <c r="C42" s="1" t="s">
        <v>21</v>
      </c>
      <c r="D42" s="1">
        <v>1284.0</v>
      </c>
      <c r="E42" s="1">
        <v>1273.0</v>
      </c>
      <c r="F42" s="1">
        <f t="shared" si="2"/>
        <v>-11</v>
      </c>
      <c r="G42" s="1">
        <f t="shared" si="3"/>
        <v>11</v>
      </c>
      <c r="H42" s="6">
        <f t="shared" si="4"/>
        <v>0.008566978193</v>
      </c>
      <c r="I42" s="6">
        <f t="shared" si="5"/>
        <v>0.9914330218</v>
      </c>
      <c r="J42" s="1">
        <f t="shared" si="6"/>
        <v>-11</v>
      </c>
      <c r="K42" s="1" t="str">
        <f t="shared" si="7"/>
        <v>Under Forecast</v>
      </c>
      <c r="L42" s="1">
        <f>F42</f>
        <v>-11</v>
      </c>
      <c r="M42" s="7">
        <f t="shared" si="10"/>
        <v>102.3902439</v>
      </c>
      <c r="N42" s="7">
        <f t="shared" si="8"/>
        <v>-0.1074321105</v>
      </c>
      <c r="O42" s="2" t="str">
        <f t="shared" si="9"/>
        <v>Acceptable</v>
      </c>
    </row>
    <row r="43" ht="15.75" customHeight="1">
      <c r="A43" s="1" t="s">
        <v>31</v>
      </c>
      <c r="B43" s="1" t="s">
        <v>16</v>
      </c>
      <c r="C43" s="1" t="s">
        <v>22</v>
      </c>
      <c r="D43" s="1">
        <v>1338.0</v>
      </c>
      <c r="E43" s="1">
        <v>1291.0</v>
      </c>
      <c r="F43" s="1">
        <f t="shared" si="2"/>
        <v>-47</v>
      </c>
      <c r="G43" s="1">
        <f t="shared" si="3"/>
        <v>47</v>
      </c>
      <c r="H43" s="6">
        <f t="shared" si="4"/>
        <v>0.03512705531</v>
      </c>
      <c r="I43" s="6">
        <f t="shared" si="5"/>
        <v>0.9648729447</v>
      </c>
      <c r="J43" s="1">
        <f t="shared" si="6"/>
        <v>-47</v>
      </c>
      <c r="K43" s="1" t="str">
        <f t="shared" si="7"/>
        <v>Under Forecast</v>
      </c>
      <c r="L43" s="1">
        <f>F43+J42</f>
        <v>-58</v>
      </c>
      <c r="M43" s="7">
        <f t="shared" si="10"/>
        <v>101.0714286</v>
      </c>
      <c r="N43" s="7">
        <f t="shared" si="8"/>
        <v>-0.5738515901</v>
      </c>
      <c r="O43" s="2" t="str">
        <f t="shared" si="9"/>
        <v>Acceptable</v>
      </c>
    </row>
    <row r="44" ht="15.75" customHeight="1">
      <c r="A44" s="1" t="s">
        <v>31</v>
      </c>
      <c r="B44" s="1" t="s">
        <v>16</v>
      </c>
      <c r="C44" s="1" t="s">
        <v>23</v>
      </c>
      <c r="D44" s="1">
        <v>1160.0</v>
      </c>
      <c r="E44" s="1">
        <v>1164.0</v>
      </c>
      <c r="F44" s="1">
        <f t="shared" si="2"/>
        <v>4</v>
      </c>
      <c r="G44" s="1">
        <f t="shared" si="3"/>
        <v>4</v>
      </c>
      <c r="H44" s="6">
        <f t="shared" si="4"/>
        <v>0.003448275862</v>
      </c>
      <c r="I44" s="6">
        <f t="shared" si="5"/>
        <v>0.9965517241</v>
      </c>
      <c r="J44" s="1">
        <f t="shared" si="6"/>
        <v>4</v>
      </c>
      <c r="K44" s="1" t="str">
        <f t="shared" si="7"/>
        <v>Over Forecast</v>
      </c>
      <c r="L44" s="1">
        <f>F44</f>
        <v>4</v>
      </c>
      <c r="M44" s="7">
        <f t="shared" si="10"/>
        <v>98.81395349</v>
      </c>
      <c r="N44" s="7">
        <f t="shared" si="8"/>
        <v>0.04048011297</v>
      </c>
      <c r="O44" s="2" t="str">
        <f t="shared" si="9"/>
        <v>Acceptable</v>
      </c>
    </row>
    <row r="45" ht="15.75" customHeight="1">
      <c r="A45" s="1" t="s">
        <v>31</v>
      </c>
      <c r="B45" s="1" t="s">
        <v>16</v>
      </c>
      <c r="C45" s="1" t="s">
        <v>24</v>
      </c>
      <c r="D45" s="1">
        <v>1265.0</v>
      </c>
      <c r="E45" s="1">
        <v>1239.0</v>
      </c>
      <c r="F45" s="1">
        <f t="shared" si="2"/>
        <v>-26</v>
      </c>
      <c r="G45" s="1">
        <f t="shared" si="3"/>
        <v>26</v>
      </c>
      <c r="H45" s="6">
        <f t="shared" si="4"/>
        <v>0.02055335968</v>
      </c>
      <c r="I45" s="6">
        <f t="shared" si="5"/>
        <v>0.9794466403</v>
      </c>
      <c r="J45" s="1">
        <f t="shared" si="6"/>
        <v>-26</v>
      </c>
      <c r="K45" s="1" t="str">
        <f t="shared" si="7"/>
        <v>Under Forecast</v>
      </c>
      <c r="L45" s="1">
        <f>F45+J44</f>
        <v>-22</v>
      </c>
      <c r="M45" s="7">
        <f t="shared" si="10"/>
        <v>97.15909091</v>
      </c>
      <c r="N45" s="7">
        <f t="shared" si="8"/>
        <v>-0.2264327485</v>
      </c>
      <c r="O45" s="2" t="str">
        <f t="shared" si="9"/>
        <v>Acceptable</v>
      </c>
    </row>
    <row r="46" ht="15.75" customHeight="1">
      <c r="A46" s="1" t="s">
        <v>31</v>
      </c>
      <c r="B46" s="1" t="s">
        <v>16</v>
      </c>
      <c r="C46" s="1" t="s">
        <v>25</v>
      </c>
      <c r="D46" s="1">
        <v>1188.0</v>
      </c>
      <c r="E46" s="1">
        <v>1151.0</v>
      </c>
      <c r="F46" s="1">
        <f t="shared" si="2"/>
        <v>-37</v>
      </c>
      <c r="G46" s="1">
        <f t="shared" si="3"/>
        <v>37</v>
      </c>
      <c r="H46" s="6">
        <f t="shared" si="4"/>
        <v>0.03114478114</v>
      </c>
      <c r="I46" s="6">
        <f t="shared" si="5"/>
        <v>0.9688552189</v>
      </c>
      <c r="J46" s="1">
        <f t="shared" si="6"/>
        <v>-37</v>
      </c>
      <c r="K46" s="1" t="str">
        <f t="shared" si="7"/>
        <v>Under Forecast</v>
      </c>
      <c r="L46" s="1">
        <f>F46</f>
        <v>-37</v>
      </c>
      <c r="M46" s="7">
        <f t="shared" si="10"/>
        <v>95.82222222</v>
      </c>
      <c r="N46" s="7">
        <f t="shared" si="8"/>
        <v>-0.3861317254</v>
      </c>
      <c r="O46" s="2" t="str">
        <f t="shared" si="9"/>
        <v>Acceptable</v>
      </c>
    </row>
    <row r="47" ht="15.75" customHeight="1">
      <c r="A47" s="1" t="s">
        <v>31</v>
      </c>
      <c r="B47" s="1" t="s">
        <v>16</v>
      </c>
      <c r="C47" s="1" t="s">
        <v>26</v>
      </c>
      <c r="D47" s="1">
        <v>1102.0</v>
      </c>
      <c r="E47" s="1">
        <v>1056.0</v>
      </c>
      <c r="F47" s="1">
        <f t="shared" si="2"/>
        <v>-46</v>
      </c>
      <c r="G47" s="1">
        <f t="shared" si="3"/>
        <v>46</v>
      </c>
      <c r="H47" s="6">
        <f t="shared" si="4"/>
        <v>0.04174228675</v>
      </c>
      <c r="I47" s="6">
        <f t="shared" si="5"/>
        <v>0.9582577132</v>
      </c>
      <c r="J47" s="1">
        <f t="shared" si="6"/>
        <v>-46</v>
      </c>
      <c r="K47" s="1" t="str">
        <f t="shared" si="7"/>
        <v>Under Forecast</v>
      </c>
      <c r="L47" s="1">
        <f>F47+J46</f>
        <v>-83</v>
      </c>
      <c r="M47" s="7">
        <f t="shared" si="10"/>
        <v>94.73913043</v>
      </c>
      <c r="N47" s="7">
        <f t="shared" si="8"/>
        <v>-0.8760899495</v>
      </c>
      <c r="O47" s="2" t="str">
        <f t="shared" si="9"/>
        <v>Acceptable</v>
      </c>
    </row>
    <row r="48" ht="15.75" customHeight="1">
      <c r="A48" s="1" t="s">
        <v>31</v>
      </c>
      <c r="B48" s="1" t="s">
        <v>16</v>
      </c>
      <c r="C48" s="1" t="s">
        <v>27</v>
      </c>
      <c r="D48" s="1">
        <v>966.0</v>
      </c>
      <c r="E48" s="1">
        <v>876.0</v>
      </c>
      <c r="F48" s="1">
        <f t="shared" si="2"/>
        <v>-90</v>
      </c>
      <c r="G48" s="1">
        <f t="shared" si="3"/>
        <v>90</v>
      </c>
      <c r="H48" s="6">
        <f t="shared" si="4"/>
        <v>0.09316770186</v>
      </c>
      <c r="I48" s="6">
        <f t="shared" si="5"/>
        <v>0.9068322981</v>
      </c>
      <c r="J48" s="1">
        <f t="shared" si="6"/>
        <v>-90</v>
      </c>
      <c r="K48" s="1" t="str">
        <f t="shared" si="7"/>
        <v>Under Forecast</v>
      </c>
      <c r="L48" s="1">
        <f>F48</f>
        <v>-90</v>
      </c>
      <c r="M48" s="7">
        <f t="shared" si="10"/>
        <v>94.63829787</v>
      </c>
      <c r="N48" s="7">
        <f t="shared" si="8"/>
        <v>-0.9509892086</v>
      </c>
      <c r="O48" s="2" t="str">
        <f t="shared" si="9"/>
        <v>Acceptable</v>
      </c>
    </row>
    <row r="49" ht="15.75" customHeight="1">
      <c r="A49" s="1" t="s">
        <v>31</v>
      </c>
      <c r="B49" s="1" t="s">
        <v>16</v>
      </c>
      <c r="C49" s="1" t="s">
        <v>28</v>
      </c>
      <c r="D49" s="1">
        <v>931.0</v>
      </c>
      <c r="E49" s="1">
        <v>923.0</v>
      </c>
      <c r="F49" s="1">
        <f t="shared" si="2"/>
        <v>-8</v>
      </c>
      <c r="G49" s="1">
        <f t="shared" si="3"/>
        <v>8</v>
      </c>
      <c r="H49" s="6">
        <f t="shared" si="4"/>
        <v>0.008592910849</v>
      </c>
      <c r="I49" s="6">
        <f t="shared" si="5"/>
        <v>0.9914070892</v>
      </c>
      <c r="J49" s="1">
        <f t="shared" si="6"/>
        <v>-8</v>
      </c>
      <c r="K49" s="1" t="str">
        <f t="shared" si="7"/>
        <v>Under Forecast</v>
      </c>
      <c r="L49" s="1">
        <f>F49+J48</f>
        <v>-98</v>
      </c>
      <c r="M49" s="7">
        <f t="shared" si="10"/>
        <v>92.83333333</v>
      </c>
      <c r="N49" s="7">
        <f t="shared" si="8"/>
        <v>-1.055655296</v>
      </c>
      <c r="O49" s="2" t="str">
        <f t="shared" si="9"/>
        <v>Acceptable</v>
      </c>
    </row>
    <row r="50" ht="15.75" customHeight="1">
      <c r="A50" s="1" t="s">
        <v>32</v>
      </c>
      <c r="B50" s="1" t="s">
        <v>16</v>
      </c>
      <c r="C50" s="1" t="s">
        <v>17</v>
      </c>
      <c r="D50" s="1">
        <v>1362.0</v>
      </c>
      <c r="E50" s="1">
        <v>1242.0</v>
      </c>
      <c r="F50" s="1">
        <f t="shared" si="2"/>
        <v>-120</v>
      </c>
      <c r="G50" s="1">
        <f t="shared" si="3"/>
        <v>120</v>
      </c>
      <c r="H50" s="6">
        <f t="shared" si="4"/>
        <v>0.08810572687</v>
      </c>
      <c r="I50" s="6">
        <f t="shared" si="5"/>
        <v>0.9118942731</v>
      </c>
      <c r="J50" s="1">
        <f t="shared" si="6"/>
        <v>-120</v>
      </c>
      <c r="K50" s="1" t="str">
        <f t="shared" si="7"/>
        <v>Under Forecast</v>
      </c>
      <c r="L50" s="1">
        <f>F50</f>
        <v>-120</v>
      </c>
      <c r="M50" s="7">
        <f t="shared" si="10"/>
        <v>93.3877551</v>
      </c>
      <c r="N50" s="7">
        <f t="shared" si="8"/>
        <v>-1.284965035</v>
      </c>
      <c r="O50" s="2" t="str">
        <f t="shared" si="9"/>
        <v>Acceptable</v>
      </c>
    </row>
    <row r="51" ht="15.75" customHeight="1">
      <c r="A51" s="1" t="s">
        <v>32</v>
      </c>
      <c r="B51" s="1" t="s">
        <v>16</v>
      </c>
      <c r="C51" s="1" t="s">
        <v>18</v>
      </c>
      <c r="D51" s="1">
        <v>1398.0</v>
      </c>
      <c r="E51" s="1">
        <v>1364.0</v>
      </c>
      <c r="F51" s="1">
        <f t="shared" si="2"/>
        <v>-34</v>
      </c>
      <c r="G51" s="1">
        <f t="shared" si="3"/>
        <v>34</v>
      </c>
      <c r="H51" s="6">
        <f t="shared" si="4"/>
        <v>0.0243204578</v>
      </c>
      <c r="I51" s="6">
        <f t="shared" si="5"/>
        <v>0.9756795422</v>
      </c>
      <c r="J51" s="1">
        <f t="shared" si="6"/>
        <v>-34</v>
      </c>
      <c r="K51" s="1" t="str">
        <f t="shared" si="7"/>
        <v>Under Forecast</v>
      </c>
      <c r="L51" s="1">
        <f>F51+J50</f>
        <v>-154</v>
      </c>
      <c r="M51" s="7">
        <f t="shared" si="10"/>
        <v>92.2</v>
      </c>
      <c r="N51" s="7">
        <f t="shared" si="8"/>
        <v>-1.670281996</v>
      </c>
      <c r="O51" s="2" t="str">
        <f t="shared" si="9"/>
        <v>Acceptable</v>
      </c>
    </row>
    <row r="52" ht="15.75" customHeight="1">
      <c r="A52" s="1" t="s">
        <v>32</v>
      </c>
      <c r="B52" s="1" t="s">
        <v>16</v>
      </c>
      <c r="C52" s="1" t="s">
        <v>19</v>
      </c>
      <c r="D52" s="1">
        <v>1357.0</v>
      </c>
      <c r="E52" s="1">
        <v>1412.0</v>
      </c>
      <c r="F52" s="1">
        <f t="shared" si="2"/>
        <v>55</v>
      </c>
      <c r="G52" s="1">
        <f t="shared" si="3"/>
        <v>55</v>
      </c>
      <c r="H52" s="6">
        <f t="shared" si="4"/>
        <v>0.04053058217</v>
      </c>
      <c r="I52" s="6">
        <f t="shared" si="5"/>
        <v>0.9594694178</v>
      </c>
      <c r="J52" s="1">
        <f t="shared" si="6"/>
        <v>55</v>
      </c>
      <c r="K52" s="1" t="str">
        <f t="shared" si="7"/>
        <v>Over Forecast</v>
      </c>
      <c r="L52" s="1">
        <f>F52</f>
        <v>55</v>
      </c>
      <c r="M52" s="7">
        <f t="shared" si="10"/>
        <v>91.47058824</v>
      </c>
      <c r="N52" s="7">
        <f t="shared" si="8"/>
        <v>0.6012861736</v>
      </c>
      <c r="O52" s="2" t="str">
        <f t="shared" si="9"/>
        <v>Acceptable</v>
      </c>
    </row>
    <row r="53" ht="15.75" customHeight="1">
      <c r="A53" s="1" t="s">
        <v>32</v>
      </c>
      <c r="B53" s="1" t="s">
        <v>16</v>
      </c>
      <c r="C53" s="1" t="s">
        <v>20</v>
      </c>
      <c r="D53" s="1">
        <v>1533.0</v>
      </c>
      <c r="E53" s="1">
        <v>1534.0</v>
      </c>
      <c r="F53" s="1">
        <f t="shared" si="2"/>
        <v>1</v>
      </c>
      <c r="G53" s="1">
        <f t="shared" si="3"/>
        <v>1</v>
      </c>
      <c r="H53" s="6">
        <f t="shared" si="4"/>
        <v>0.0006523157208</v>
      </c>
      <c r="I53" s="6">
        <f t="shared" si="5"/>
        <v>0.9993476843</v>
      </c>
      <c r="J53" s="1">
        <f t="shared" si="6"/>
        <v>1</v>
      </c>
      <c r="K53" s="1" t="str">
        <f t="shared" si="7"/>
        <v>Over Forecast</v>
      </c>
      <c r="L53" s="1">
        <f>F53+J52</f>
        <v>56</v>
      </c>
      <c r="M53" s="7">
        <f t="shared" si="10"/>
        <v>89.73076923</v>
      </c>
      <c r="N53" s="7">
        <f t="shared" si="8"/>
        <v>0.6240891556</v>
      </c>
      <c r="O53" s="2" t="str">
        <f t="shared" si="9"/>
        <v>Acceptable</v>
      </c>
    </row>
    <row r="54" ht="15.75" customHeight="1">
      <c r="A54" s="1" t="s">
        <v>32</v>
      </c>
      <c r="B54" s="1" t="s">
        <v>16</v>
      </c>
      <c r="C54" s="1" t="s">
        <v>21</v>
      </c>
      <c r="D54" s="1">
        <v>1685.0</v>
      </c>
      <c r="E54" s="1">
        <v>1667.0</v>
      </c>
      <c r="F54" s="1">
        <f t="shared" si="2"/>
        <v>-18</v>
      </c>
      <c r="G54" s="1">
        <f t="shared" si="3"/>
        <v>18</v>
      </c>
      <c r="H54" s="6">
        <f t="shared" si="4"/>
        <v>0.01068249258</v>
      </c>
      <c r="I54" s="6">
        <f t="shared" si="5"/>
        <v>0.9893175074</v>
      </c>
      <c r="J54" s="1">
        <f t="shared" si="6"/>
        <v>-18</v>
      </c>
      <c r="K54" s="1" t="str">
        <f t="shared" si="7"/>
        <v>Under Forecast</v>
      </c>
      <c r="L54" s="1">
        <f>F54</f>
        <v>-18</v>
      </c>
      <c r="M54" s="7">
        <f t="shared" si="10"/>
        <v>88.37735849</v>
      </c>
      <c r="N54" s="7">
        <f t="shared" si="8"/>
        <v>-0.2036720751</v>
      </c>
      <c r="O54" s="2" t="str">
        <f t="shared" si="9"/>
        <v>Acceptable</v>
      </c>
    </row>
    <row r="55" ht="15.75" customHeight="1">
      <c r="A55" s="1" t="s">
        <v>32</v>
      </c>
      <c r="B55" s="1" t="s">
        <v>16</v>
      </c>
      <c r="C55" s="1" t="s">
        <v>22</v>
      </c>
      <c r="D55" s="1">
        <v>1549.0</v>
      </c>
      <c r="E55" s="1">
        <v>1404.0</v>
      </c>
      <c r="F55" s="1">
        <f t="shared" si="2"/>
        <v>-145</v>
      </c>
      <c r="G55" s="1">
        <f t="shared" si="3"/>
        <v>145</v>
      </c>
      <c r="H55" s="6">
        <f t="shared" si="4"/>
        <v>0.09360877986</v>
      </c>
      <c r="I55" s="6">
        <f t="shared" si="5"/>
        <v>0.9063912201</v>
      </c>
      <c r="J55" s="1">
        <f t="shared" si="6"/>
        <v>-145</v>
      </c>
      <c r="K55" s="1" t="str">
        <f t="shared" si="7"/>
        <v>Under Forecast</v>
      </c>
      <c r="L55" s="1">
        <f>F55+J54</f>
        <v>-163</v>
      </c>
      <c r="M55" s="7">
        <f t="shared" si="10"/>
        <v>89.42592593</v>
      </c>
      <c r="N55" s="7">
        <f t="shared" si="8"/>
        <v>-1.822737627</v>
      </c>
      <c r="O55" s="2" t="str">
        <f t="shared" si="9"/>
        <v>Acceptable</v>
      </c>
    </row>
    <row r="56" ht="15.75" customHeight="1">
      <c r="A56" s="1" t="s">
        <v>32</v>
      </c>
      <c r="B56" s="1" t="s">
        <v>16</v>
      </c>
      <c r="C56" s="1" t="s">
        <v>23</v>
      </c>
      <c r="D56" s="1">
        <v>1651.0</v>
      </c>
      <c r="E56" s="1">
        <v>1527.0</v>
      </c>
      <c r="F56" s="1">
        <f t="shared" si="2"/>
        <v>-124</v>
      </c>
      <c r="G56" s="1">
        <f t="shared" si="3"/>
        <v>124</v>
      </c>
      <c r="H56" s="6">
        <f t="shared" si="4"/>
        <v>0.07510599637</v>
      </c>
      <c r="I56" s="6">
        <f t="shared" si="5"/>
        <v>0.9248940036</v>
      </c>
      <c r="J56" s="1">
        <f t="shared" si="6"/>
        <v>-124</v>
      </c>
      <c r="K56" s="1" t="str">
        <f t="shared" si="7"/>
        <v>Under Forecast</v>
      </c>
      <c r="L56" s="1">
        <f>F56</f>
        <v>-124</v>
      </c>
      <c r="M56" s="7">
        <f t="shared" si="10"/>
        <v>90.05454545</v>
      </c>
      <c r="N56" s="7">
        <f t="shared" si="8"/>
        <v>-1.376943267</v>
      </c>
      <c r="O56" s="2" t="str">
        <f t="shared" si="9"/>
        <v>Acceptable</v>
      </c>
    </row>
    <row r="57" ht="15.75" customHeight="1">
      <c r="A57" s="1" t="s">
        <v>32</v>
      </c>
      <c r="B57" s="1" t="s">
        <v>16</v>
      </c>
      <c r="C57" s="1" t="s">
        <v>24</v>
      </c>
      <c r="D57" s="1">
        <v>1599.0</v>
      </c>
      <c r="E57" s="1">
        <v>1649.0</v>
      </c>
      <c r="F57" s="1">
        <f t="shared" si="2"/>
        <v>50</v>
      </c>
      <c r="G57" s="1">
        <f t="shared" si="3"/>
        <v>50</v>
      </c>
      <c r="H57" s="6">
        <f t="shared" si="4"/>
        <v>0.03126954346</v>
      </c>
      <c r="I57" s="6">
        <f t="shared" si="5"/>
        <v>0.9687304565</v>
      </c>
      <c r="J57" s="1">
        <f t="shared" si="6"/>
        <v>50</v>
      </c>
      <c r="K57" s="1" t="str">
        <f t="shared" si="7"/>
        <v>Over Forecast</v>
      </c>
      <c r="L57" s="1">
        <f>F57+J56</f>
        <v>-74</v>
      </c>
      <c r="M57" s="7">
        <f t="shared" si="10"/>
        <v>89.33928571</v>
      </c>
      <c r="N57" s="7">
        <f t="shared" si="8"/>
        <v>-0.8283030182</v>
      </c>
      <c r="O57" s="2" t="str">
        <f t="shared" si="9"/>
        <v>Acceptable</v>
      </c>
    </row>
    <row r="58" ht="15.75" customHeight="1">
      <c r="A58" s="1" t="s">
        <v>32</v>
      </c>
      <c r="B58" s="1" t="s">
        <v>16</v>
      </c>
      <c r="C58" s="1" t="s">
        <v>25</v>
      </c>
      <c r="D58" s="1">
        <v>1500.0</v>
      </c>
      <c r="E58" s="1">
        <v>1364.0</v>
      </c>
      <c r="F58" s="1">
        <f t="shared" si="2"/>
        <v>-136</v>
      </c>
      <c r="G58" s="1">
        <f t="shared" si="3"/>
        <v>136</v>
      </c>
      <c r="H58" s="6">
        <f t="shared" si="4"/>
        <v>0.09066666667</v>
      </c>
      <c r="I58" s="6">
        <f t="shared" si="5"/>
        <v>0.9093333333</v>
      </c>
      <c r="J58" s="1">
        <f t="shared" si="6"/>
        <v>-136</v>
      </c>
      <c r="K58" s="1" t="str">
        <f t="shared" si="7"/>
        <v>Under Forecast</v>
      </c>
      <c r="L58" s="1">
        <f>F58</f>
        <v>-136</v>
      </c>
      <c r="M58" s="7">
        <f t="shared" si="10"/>
        <v>90.15789474</v>
      </c>
      <c r="N58" s="7">
        <f t="shared" si="8"/>
        <v>-1.508464682</v>
      </c>
      <c r="O58" s="2" t="str">
        <f t="shared" si="9"/>
        <v>Acceptable</v>
      </c>
    </row>
    <row r="59" ht="15.75" customHeight="1">
      <c r="A59" s="1" t="s">
        <v>32</v>
      </c>
      <c r="B59" s="1" t="s">
        <v>16</v>
      </c>
      <c r="C59" s="1" t="s">
        <v>26</v>
      </c>
      <c r="D59" s="1">
        <v>1499.0</v>
      </c>
      <c r="E59" s="1">
        <v>1551.0</v>
      </c>
      <c r="F59" s="1">
        <f t="shared" si="2"/>
        <v>52</v>
      </c>
      <c r="G59" s="1">
        <f t="shared" si="3"/>
        <v>52</v>
      </c>
      <c r="H59" s="6">
        <f t="shared" si="4"/>
        <v>0.0346897932</v>
      </c>
      <c r="I59" s="6">
        <f t="shared" si="5"/>
        <v>0.9653102068</v>
      </c>
      <c r="J59" s="1">
        <f t="shared" si="6"/>
        <v>52</v>
      </c>
      <c r="K59" s="1" t="str">
        <f t="shared" si="7"/>
        <v>Over Forecast</v>
      </c>
      <c r="L59" s="1">
        <f>F59+J58</f>
        <v>-84</v>
      </c>
      <c r="M59" s="7">
        <f t="shared" si="10"/>
        <v>89.5</v>
      </c>
      <c r="N59" s="7">
        <f t="shared" si="8"/>
        <v>-0.938547486</v>
      </c>
      <c r="O59" s="2" t="str">
        <f t="shared" si="9"/>
        <v>Acceptable</v>
      </c>
    </row>
    <row r="60" ht="15.75" customHeight="1">
      <c r="A60" s="1" t="s">
        <v>32</v>
      </c>
      <c r="B60" s="1" t="s">
        <v>16</v>
      </c>
      <c r="C60" s="1" t="s">
        <v>27</v>
      </c>
      <c r="D60" s="1">
        <v>1462.0</v>
      </c>
      <c r="E60" s="1">
        <v>1452.0</v>
      </c>
      <c r="F60" s="1">
        <f t="shared" si="2"/>
        <v>-10</v>
      </c>
      <c r="G60" s="1">
        <f t="shared" si="3"/>
        <v>10</v>
      </c>
      <c r="H60" s="6">
        <f t="shared" si="4"/>
        <v>0.00683994528</v>
      </c>
      <c r="I60" s="6">
        <f t="shared" si="5"/>
        <v>0.9931600547</v>
      </c>
      <c r="J60" s="1">
        <f t="shared" si="6"/>
        <v>-10</v>
      </c>
      <c r="K60" s="1" t="str">
        <f t="shared" si="7"/>
        <v>Under Forecast</v>
      </c>
      <c r="L60" s="1">
        <f>F60</f>
        <v>-10</v>
      </c>
      <c r="M60" s="7">
        <f t="shared" si="10"/>
        <v>88.15254237</v>
      </c>
      <c r="N60" s="7">
        <f t="shared" si="8"/>
        <v>-0.1134397231</v>
      </c>
      <c r="O60" s="2" t="str">
        <f t="shared" si="9"/>
        <v>Acceptable</v>
      </c>
    </row>
    <row r="61" ht="15.75" customHeight="1">
      <c r="A61" s="1" t="s">
        <v>32</v>
      </c>
      <c r="B61" s="1" t="s">
        <v>16</v>
      </c>
      <c r="C61" s="1" t="s">
        <v>28</v>
      </c>
      <c r="D61" s="1">
        <v>1353.0</v>
      </c>
      <c r="E61" s="1">
        <v>1280.0</v>
      </c>
      <c r="F61" s="1">
        <f t="shared" si="2"/>
        <v>-73</v>
      </c>
      <c r="G61" s="1">
        <f t="shared" si="3"/>
        <v>73</v>
      </c>
      <c r="H61" s="6">
        <f t="shared" si="4"/>
        <v>0.05395417591</v>
      </c>
      <c r="I61" s="6">
        <f t="shared" si="5"/>
        <v>0.9460458241</v>
      </c>
      <c r="J61" s="1">
        <f t="shared" si="6"/>
        <v>-73</v>
      </c>
      <c r="K61" s="1" t="str">
        <f t="shared" si="7"/>
        <v>Under Forecast</v>
      </c>
      <c r="L61" s="1">
        <f>F61+J60</f>
        <v>-83</v>
      </c>
      <c r="M61" s="7">
        <f t="shared" si="10"/>
        <v>87.9</v>
      </c>
      <c r="N61" s="7">
        <f t="shared" si="8"/>
        <v>-0.944254835</v>
      </c>
      <c r="O61" s="2" t="str">
        <f t="shared" si="9"/>
        <v>Acceptable</v>
      </c>
    </row>
    <row r="62" ht="15.75" customHeight="1">
      <c r="A62" s="1" t="s">
        <v>33</v>
      </c>
      <c r="B62" s="1" t="s">
        <v>16</v>
      </c>
      <c r="C62" s="1" t="s">
        <v>17</v>
      </c>
      <c r="D62" s="1">
        <v>1424.0</v>
      </c>
      <c r="E62" s="1">
        <v>1317.0</v>
      </c>
      <c r="F62" s="1">
        <f t="shared" si="2"/>
        <v>-107</v>
      </c>
      <c r="G62" s="1">
        <f t="shared" si="3"/>
        <v>107</v>
      </c>
      <c r="H62" s="6">
        <f t="shared" si="4"/>
        <v>0.07514044944</v>
      </c>
      <c r="I62" s="6">
        <f t="shared" si="5"/>
        <v>0.9248595506</v>
      </c>
      <c r="J62" s="1">
        <f t="shared" si="6"/>
        <v>-107</v>
      </c>
      <c r="K62" s="1" t="str">
        <f t="shared" si="7"/>
        <v>Under Forecast</v>
      </c>
      <c r="L62" s="1">
        <f>F62</f>
        <v>-107</v>
      </c>
      <c r="M62" s="7">
        <f t="shared" si="10"/>
        <v>88.21311475</v>
      </c>
      <c r="N62" s="7">
        <f t="shared" si="8"/>
        <v>-1.212971567</v>
      </c>
      <c r="O62" s="2" t="str">
        <f t="shared" si="9"/>
        <v>Acceptable</v>
      </c>
    </row>
    <row r="63" ht="15.75" customHeight="1">
      <c r="A63" s="1" t="s">
        <v>33</v>
      </c>
      <c r="B63" s="1" t="s">
        <v>16</v>
      </c>
      <c r="C63" s="1" t="s">
        <v>18</v>
      </c>
      <c r="D63" s="1">
        <v>1395.0</v>
      </c>
      <c r="E63" s="1">
        <v>1316.0</v>
      </c>
      <c r="F63" s="1">
        <f t="shared" si="2"/>
        <v>-79</v>
      </c>
      <c r="G63" s="1">
        <f t="shared" si="3"/>
        <v>79</v>
      </c>
      <c r="H63" s="6">
        <f t="shared" si="4"/>
        <v>0.05663082437</v>
      </c>
      <c r="I63" s="6">
        <f t="shared" si="5"/>
        <v>0.9433691756</v>
      </c>
      <c r="J63" s="1">
        <f t="shared" si="6"/>
        <v>-79</v>
      </c>
      <c r="K63" s="1" t="str">
        <f t="shared" si="7"/>
        <v>Under Forecast</v>
      </c>
      <c r="L63" s="1">
        <f>F63+J62</f>
        <v>-186</v>
      </c>
      <c r="M63" s="7">
        <f t="shared" si="10"/>
        <v>88.06451613</v>
      </c>
      <c r="N63" s="7">
        <f t="shared" si="8"/>
        <v>-2.112087912</v>
      </c>
      <c r="O63" s="2" t="str">
        <f t="shared" si="9"/>
        <v>Acceptable</v>
      </c>
    </row>
    <row r="64" ht="15.75" customHeight="1">
      <c r="A64" s="1" t="s">
        <v>33</v>
      </c>
      <c r="B64" s="1" t="s">
        <v>16</v>
      </c>
      <c r="C64" s="1" t="s">
        <v>19</v>
      </c>
      <c r="D64" s="1">
        <v>1728.0</v>
      </c>
      <c r="E64" s="1">
        <v>1627.0</v>
      </c>
      <c r="F64" s="1">
        <f t="shared" si="2"/>
        <v>-101</v>
      </c>
      <c r="G64" s="1">
        <f t="shared" si="3"/>
        <v>101</v>
      </c>
      <c r="H64" s="6">
        <f t="shared" si="4"/>
        <v>0.05844907407</v>
      </c>
      <c r="I64" s="6">
        <f t="shared" si="5"/>
        <v>0.9415509259</v>
      </c>
      <c r="J64" s="1">
        <f t="shared" si="6"/>
        <v>-101</v>
      </c>
      <c r="K64" s="1" t="str">
        <f t="shared" si="7"/>
        <v>Under Forecast</v>
      </c>
      <c r="L64" s="1">
        <f>F64</f>
        <v>-101</v>
      </c>
      <c r="M64" s="7">
        <f t="shared" si="10"/>
        <v>88.26984127</v>
      </c>
      <c r="N64" s="7">
        <f t="shared" si="8"/>
        <v>-1.144218666</v>
      </c>
      <c r="O64" s="2" t="str">
        <f t="shared" si="9"/>
        <v>Acceptable</v>
      </c>
    </row>
    <row r="65" ht="15.75" customHeight="1">
      <c r="A65" s="1" t="s">
        <v>33</v>
      </c>
      <c r="B65" s="1" t="s">
        <v>16</v>
      </c>
      <c r="C65" s="1" t="s">
        <v>20</v>
      </c>
      <c r="D65" s="1">
        <v>1657.0</v>
      </c>
      <c r="E65" s="1">
        <v>1661.0</v>
      </c>
      <c r="F65" s="1">
        <f t="shared" si="2"/>
        <v>4</v>
      </c>
      <c r="G65" s="1">
        <f t="shared" si="3"/>
        <v>4</v>
      </c>
      <c r="H65" s="6">
        <f t="shared" si="4"/>
        <v>0.002414001207</v>
      </c>
      <c r="I65" s="6">
        <f t="shared" si="5"/>
        <v>0.9975859988</v>
      </c>
      <c r="J65" s="1">
        <f t="shared" si="6"/>
        <v>4</v>
      </c>
      <c r="K65" s="1" t="str">
        <f t="shared" si="7"/>
        <v>Over Forecast</v>
      </c>
      <c r="L65" s="1">
        <f>F65+J64</f>
        <v>-97</v>
      </c>
      <c r="M65" s="7">
        <f t="shared" si="10"/>
        <v>86.953125</v>
      </c>
      <c r="N65" s="7">
        <f t="shared" si="8"/>
        <v>-1.115543576</v>
      </c>
      <c r="O65" s="2" t="str">
        <f t="shared" si="9"/>
        <v>Acceptable</v>
      </c>
    </row>
    <row r="66" ht="15.75" customHeight="1">
      <c r="A66" s="1" t="s">
        <v>33</v>
      </c>
      <c r="B66" s="1" t="s">
        <v>16</v>
      </c>
      <c r="C66" s="1" t="s">
        <v>21</v>
      </c>
      <c r="D66" s="1">
        <v>1669.0</v>
      </c>
      <c r="E66" s="1">
        <v>1744.0</v>
      </c>
      <c r="F66" s="1">
        <f t="shared" si="2"/>
        <v>75</v>
      </c>
      <c r="G66" s="1">
        <f t="shared" si="3"/>
        <v>75</v>
      </c>
      <c r="H66" s="6">
        <f t="shared" si="4"/>
        <v>0.04493708808</v>
      </c>
      <c r="I66" s="6">
        <f t="shared" si="5"/>
        <v>0.9550629119</v>
      </c>
      <c r="J66" s="1">
        <f t="shared" si="6"/>
        <v>75</v>
      </c>
      <c r="K66" s="1" t="str">
        <f t="shared" si="7"/>
        <v>Over Forecast</v>
      </c>
      <c r="L66" s="1">
        <f>F66</f>
        <v>75</v>
      </c>
      <c r="M66" s="7">
        <f t="shared" si="10"/>
        <v>86.76923077</v>
      </c>
      <c r="N66" s="7">
        <f t="shared" si="8"/>
        <v>0.8643617021</v>
      </c>
      <c r="O66" s="2" t="str">
        <f t="shared" si="9"/>
        <v>Acceptable</v>
      </c>
    </row>
    <row r="67" ht="15.75" customHeight="1">
      <c r="A67" s="1" t="s">
        <v>33</v>
      </c>
      <c r="B67" s="1" t="s">
        <v>16</v>
      </c>
      <c r="C67" s="1" t="s">
        <v>22</v>
      </c>
      <c r="D67" s="1">
        <v>1929.0</v>
      </c>
      <c r="E67" s="1">
        <v>1794.0</v>
      </c>
      <c r="F67" s="1">
        <f t="shared" si="2"/>
        <v>-135</v>
      </c>
      <c r="G67" s="1">
        <f t="shared" si="3"/>
        <v>135</v>
      </c>
      <c r="H67" s="6">
        <f t="shared" si="4"/>
        <v>0.0699844479</v>
      </c>
      <c r="I67" s="6">
        <f t="shared" si="5"/>
        <v>0.9300155521</v>
      </c>
      <c r="J67" s="1">
        <f t="shared" si="6"/>
        <v>-135</v>
      </c>
      <c r="K67" s="1" t="str">
        <f t="shared" si="7"/>
        <v>Under Forecast</v>
      </c>
      <c r="L67" s="1">
        <f>F67+J66</f>
        <v>-60</v>
      </c>
      <c r="M67" s="7">
        <f t="shared" si="10"/>
        <v>87.5</v>
      </c>
      <c r="N67" s="7">
        <f t="shared" si="8"/>
        <v>-0.6857142857</v>
      </c>
      <c r="O67" s="2" t="str">
        <f t="shared" si="9"/>
        <v>Acceptable</v>
      </c>
    </row>
    <row r="68" ht="15.75" customHeight="1">
      <c r="A68" s="1" t="s">
        <v>33</v>
      </c>
      <c r="B68" s="1" t="s">
        <v>16</v>
      </c>
      <c r="C68" s="1" t="s">
        <v>23</v>
      </c>
      <c r="D68" s="1">
        <v>1816.0</v>
      </c>
      <c r="E68" s="1">
        <v>1703.0</v>
      </c>
      <c r="F68" s="1">
        <f t="shared" si="2"/>
        <v>-113</v>
      </c>
      <c r="G68" s="1">
        <f t="shared" si="3"/>
        <v>113</v>
      </c>
      <c r="H68" s="6">
        <f t="shared" si="4"/>
        <v>0.0622246696</v>
      </c>
      <c r="I68" s="6">
        <f t="shared" si="5"/>
        <v>0.9377753304</v>
      </c>
      <c r="J68" s="1">
        <f t="shared" si="6"/>
        <v>-113</v>
      </c>
      <c r="K68" s="1" t="str">
        <f t="shared" si="7"/>
        <v>Under Forecast</v>
      </c>
      <c r="L68" s="1">
        <f>F68</f>
        <v>-113</v>
      </c>
      <c r="M68" s="7">
        <f t="shared" si="10"/>
        <v>87.88059701</v>
      </c>
      <c r="N68" s="7">
        <f t="shared" si="8"/>
        <v>-1.285835598</v>
      </c>
      <c r="O68" s="2" t="str">
        <f t="shared" si="9"/>
        <v>Acceptable</v>
      </c>
    </row>
    <row r="69" ht="15.75" customHeight="1">
      <c r="A69" s="1" t="s">
        <v>33</v>
      </c>
      <c r="B69" s="1" t="s">
        <v>16</v>
      </c>
      <c r="C69" s="1" t="s">
        <v>24</v>
      </c>
      <c r="D69" s="1">
        <v>1694.0</v>
      </c>
      <c r="E69" s="1">
        <v>1517.0</v>
      </c>
      <c r="F69" s="1">
        <f t="shared" si="2"/>
        <v>-177</v>
      </c>
      <c r="G69" s="1">
        <f t="shared" si="3"/>
        <v>177</v>
      </c>
      <c r="H69" s="6">
        <f t="shared" si="4"/>
        <v>0.1044864227</v>
      </c>
      <c r="I69" s="6">
        <f t="shared" si="5"/>
        <v>0.8955135773</v>
      </c>
      <c r="J69" s="1">
        <f t="shared" si="6"/>
        <v>-177</v>
      </c>
      <c r="K69" s="1" t="str">
        <f t="shared" si="7"/>
        <v>Under Forecast</v>
      </c>
      <c r="L69" s="1">
        <f>F69+J68</f>
        <v>-290</v>
      </c>
      <c r="M69" s="7">
        <f t="shared" si="10"/>
        <v>89.19117647</v>
      </c>
      <c r="N69" s="7">
        <f t="shared" si="8"/>
        <v>-3.251442704</v>
      </c>
      <c r="O69" s="2" t="str">
        <f t="shared" si="9"/>
        <v>Acceptable</v>
      </c>
    </row>
    <row r="70" ht="15.75" customHeight="1">
      <c r="A70" s="1" t="s">
        <v>33</v>
      </c>
      <c r="B70" s="1" t="s">
        <v>16</v>
      </c>
      <c r="C70" s="1" t="s">
        <v>25</v>
      </c>
      <c r="D70" s="1">
        <v>1726.0</v>
      </c>
      <c r="E70" s="1">
        <v>1674.0</v>
      </c>
      <c r="F70" s="1">
        <f t="shared" si="2"/>
        <v>-52</v>
      </c>
      <c r="G70" s="1">
        <f t="shared" si="3"/>
        <v>52</v>
      </c>
      <c r="H70" s="6">
        <f t="shared" si="4"/>
        <v>0.03012746234</v>
      </c>
      <c r="I70" s="6">
        <f t="shared" si="5"/>
        <v>0.9698725377</v>
      </c>
      <c r="J70" s="1">
        <f t="shared" si="6"/>
        <v>-52</v>
      </c>
      <c r="K70" s="1" t="str">
        <f t="shared" si="7"/>
        <v>Under Forecast</v>
      </c>
      <c r="L70" s="1">
        <f>F70</f>
        <v>-52</v>
      </c>
      <c r="M70" s="7">
        <f t="shared" si="10"/>
        <v>88.65217391</v>
      </c>
      <c r="N70" s="7">
        <f t="shared" si="8"/>
        <v>-0.5865620402</v>
      </c>
      <c r="O70" s="2" t="str">
        <f t="shared" si="9"/>
        <v>Acceptable</v>
      </c>
    </row>
    <row r="71" ht="15.75" customHeight="1">
      <c r="A71" s="1" t="s">
        <v>33</v>
      </c>
      <c r="B71" s="1" t="s">
        <v>16</v>
      </c>
      <c r="C71" s="1" t="s">
        <v>26</v>
      </c>
      <c r="D71" s="1">
        <v>1523.0</v>
      </c>
      <c r="E71" s="1">
        <v>1423.0</v>
      </c>
      <c r="F71" s="1">
        <f t="shared" si="2"/>
        <v>-100</v>
      </c>
      <c r="G71" s="1">
        <f t="shared" si="3"/>
        <v>100</v>
      </c>
      <c r="H71" s="6">
        <f t="shared" si="4"/>
        <v>0.06565988181</v>
      </c>
      <c r="I71" s="6">
        <f t="shared" si="5"/>
        <v>0.9343401182</v>
      </c>
      <c r="J71" s="1">
        <f t="shared" si="6"/>
        <v>-100</v>
      </c>
      <c r="K71" s="1" t="str">
        <f t="shared" si="7"/>
        <v>Under Forecast</v>
      </c>
      <c r="L71" s="1">
        <f>F71+J70</f>
        <v>-152</v>
      </c>
      <c r="M71" s="7">
        <f t="shared" si="10"/>
        <v>88.81428571</v>
      </c>
      <c r="N71" s="7">
        <f t="shared" si="8"/>
        <v>-1.711436384</v>
      </c>
      <c r="O71" s="2" t="str">
        <f t="shared" si="9"/>
        <v>Acceptable</v>
      </c>
    </row>
    <row r="72" ht="15.75" customHeight="1">
      <c r="A72" s="1" t="s">
        <v>33</v>
      </c>
      <c r="B72" s="1" t="s">
        <v>16</v>
      </c>
      <c r="C72" s="1" t="s">
        <v>27</v>
      </c>
      <c r="D72" s="1">
        <v>1792.0</v>
      </c>
      <c r="E72" s="1">
        <v>1663.0</v>
      </c>
      <c r="F72" s="1">
        <f t="shared" si="2"/>
        <v>-129</v>
      </c>
      <c r="G72" s="1">
        <f t="shared" si="3"/>
        <v>129</v>
      </c>
      <c r="H72" s="6">
        <f t="shared" si="4"/>
        <v>0.07198660714</v>
      </c>
      <c r="I72" s="6">
        <f t="shared" si="5"/>
        <v>0.9280133929</v>
      </c>
      <c r="J72" s="1">
        <f t="shared" si="6"/>
        <v>-129</v>
      </c>
      <c r="K72" s="1" t="str">
        <f t="shared" si="7"/>
        <v>Under Forecast</v>
      </c>
      <c r="L72" s="1">
        <f>F72</f>
        <v>-129</v>
      </c>
      <c r="M72" s="7">
        <f t="shared" si="10"/>
        <v>89.38028169</v>
      </c>
      <c r="N72" s="7">
        <f t="shared" si="8"/>
        <v>-1.443271352</v>
      </c>
      <c r="O72" s="2" t="str">
        <f t="shared" si="9"/>
        <v>Acceptable</v>
      </c>
    </row>
    <row r="73" ht="15.75" customHeight="1">
      <c r="A73" s="1" t="s">
        <v>33</v>
      </c>
      <c r="B73" s="1" t="s">
        <v>16</v>
      </c>
      <c r="C73" s="1" t="s">
        <v>28</v>
      </c>
      <c r="D73" s="1">
        <v>1508.0</v>
      </c>
      <c r="E73" s="1">
        <v>1460.0</v>
      </c>
      <c r="F73" s="1">
        <f t="shared" si="2"/>
        <v>-48</v>
      </c>
      <c r="G73" s="1">
        <f t="shared" si="3"/>
        <v>48</v>
      </c>
      <c r="H73" s="6">
        <f t="shared" si="4"/>
        <v>0.03183023873</v>
      </c>
      <c r="I73" s="6">
        <f t="shared" si="5"/>
        <v>0.9681697613</v>
      </c>
      <c r="J73" s="1">
        <f t="shared" si="6"/>
        <v>-48</v>
      </c>
      <c r="K73" s="1" t="str">
        <f t="shared" si="7"/>
        <v>Under Forecast</v>
      </c>
      <c r="L73" s="1">
        <f>F73+J72</f>
        <v>-177</v>
      </c>
      <c r="M73" s="7">
        <f t="shared" si="10"/>
        <v>88.80555556</v>
      </c>
      <c r="N73" s="7">
        <f t="shared" si="8"/>
        <v>-1.993118549</v>
      </c>
      <c r="O73" s="2" t="str">
        <f t="shared" si="9"/>
        <v>Acceptable</v>
      </c>
    </row>
    <row r="74" ht="15.75" customHeight="1">
      <c r="A74" s="1" t="s">
        <v>34</v>
      </c>
      <c r="B74" s="1" t="s">
        <v>16</v>
      </c>
      <c r="C74" s="1" t="s">
        <v>17</v>
      </c>
      <c r="D74" s="1">
        <v>1063.0</v>
      </c>
      <c r="E74" s="1">
        <v>965.0</v>
      </c>
      <c r="F74" s="1">
        <f t="shared" si="2"/>
        <v>-98</v>
      </c>
      <c r="G74" s="1">
        <f t="shared" si="3"/>
        <v>98</v>
      </c>
      <c r="H74" s="6">
        <f t="shared" si="4"/>
        <v>0.09219190969</v>
      </c>
      <c r="I74" s="6">
        <f t="shared" si="5"/>
        <v>0.9078080903</v>
      </c>
      <c r="J74" s="1">
        <f t="shared" si="6"/>
        <v>-98</v>
      </c>
      <c r="K74" s="1" t="str">
        <f t="shared" si="7"/>
        <v>Under Forecast</v>
      </c>
      <c r="L74" s="1">
        <f>F74</f>
        <v>-98</v>
      </c>
      <c r="M74" s="7">
        <f t="shared" si="10"/>
        <v>88.93150685</v>
      </c>
      <c r="N74" s="7">
        <f t="shared" si="8"/>
        <v>-1.101971657</v>
      </c>
      <c r="O74" s="2" t="str">
        <f t="shared" si="9"/>
        <v>Acceptable</v>
      </c>
    </row>
    <row r="75" ht="15.75" customHeight="1">
      <c r="A75" s="1" t="s">
        <v>34</v>
      </c>
      <c r="B75" s="1" t="s">
        <v>16</v>
      </c>
      <c r="C75" s="1" t="s">
        <v>18</v>
      </c>
      <c r="D75" s="1">
        <v>1108.0</v>
      </c>
      <c r="E75" s="1">
        <v>1029.0</v>
      </c>
      <c r="F75" s="1">
        <f t="shared" si="2"/>
        <v>-79</v>
      </c>
      <c r="G75" s="1">
        <f t="shared" si="3"/>
        <v>79</v>
      </c>
      <c r="H75" s="6">
        <f t="shared" si="4"/>
        <v>0.07129963899</v>
      </c>
      <c r="I75" s="6">
        <f t="shared" si="5"/>
        <v>0.928700361</v>
      </c>
      <c r="J75" s="1">
        <f t="shared" si="6"/>
        <v>-79</v>
      </c>
      <c r="K75" s="1" t="str">
        <f t="shared" si="7"/>
        <v>Under Forecast</v>
      </c>
      <c r="L75" s="1">
        <f>F75+J74</f>
        <v>-177</v>
      </c>
      <c r="M75" s="7">
        <f t="shared" si="10"/>
        <v>88.7972973</v>
      </c>
      <c r="N75" s="7">
        <f t="shared" si="8"/>
        <v>-1.993303911</v>
      </c>
      <c r="O75" s="2" t="str">
        <f t="shared" si="9"/>
        <v>Acceptable</v>
      </c>
    </row>
    <row r="76" ht="15.75" customHeight="1">
      <c r="A76" s="1" t="s">
        <v>34</v>
      </c>
      <c r="B76" s="1" t="s">
        <v>16</v>
      </c>
      <c r="C76" s="1" t="s">
        <v>19</v>
      </c>
      <c r="D76" s="1">
        <v>1151.0</v>
      </c>
      <c r="E76" s="1">
        <v>1118.0</v>
      </c>
      <c r="F76" s="1">
        <f t="shared" si="2"/>
        <v>-33</v>
      </c>
      <c r="G76" s="1">
        <f t="shared" si="3"/>
        <v>33</v>
      </c>
      <c r="H76" s="6">
        <f t="shared" si="4"/>
        <v>0.02867072111</v>
      </c>
      <c r="I76" s="6">
        <f t="shared" si="5"/>
        <v>0.9713292789</v>
      </c>
      <c r="J76" s="1">
        <f t="shared" si="6"/>
        <v>-33</v>
      </c>
      <c r="K76" s="1" t="str">
        <f t="shared" si="7"/>
        <v>Under Forecast</v>
      </c>
      <c r="L76" s="1">
        <f>F76</f>
        <v>-33</v>
      </c>
      <c r="M76" s="7">
        <f t="shared" si="10"/>
        <v>88.05333333</v>
      </c>
      <c r="N76" s="7">
        <f t="shared" si="8"/>
        <v>-0.3747728649</v>
      </c>
      <c r="O76" s="2" t="str">
        <f t="shared" si="9"/>
        <v>Acceptable</v>
      </c>
    </row>
    <row r="77" ht="15.75" customHeight="1">
      <c r="A77" s="1" t="s">
        <v>34</v>
      </c>
      <c r="B77" s="1" t="s">
        <v>16</v>
      </c>
      <c r="C77" s="1" t="s">
        <v>20</v>
      </c>
      <c r="D77" s="1">
        <v>1182.0</v>
      </c>
      <c r="E77" s="1">
        <v>1045.0</v>
      </c>
      <c r="F77" s="1">
        <f t="shared" si="2"/>
        <v>-137</v>
      </c>
      <c r="G77" s="1">
        <f t="shared" si="3"/>
        <v>137</v>
      </c>
      <c r="H77" s="6">
        <f t="shared" si="4"/>
        <v>0.1159052453</v>
      </c>
      <c r="I77" s="6">
        <f t="shared" si="5"/>
        <v>0.8840947547</v>
      </c>
      <c r="J77" s="1">
        <f t="shared" si="6"/>
        <v>-137</v>
      </c>
      <c r="K77" s="1" t="str">
        <f t="shared" si="7"/>
        <v>Under Forecast</v>
      </c>
      <c r="L77" s="1">
        <f>F77+J76</f>
        <v>-170</v>
      </c>
      <c r="M77" s="7">
        <f t="shared" si="10"/>
        <v>88.69736842</v>
      </c>
      <c r="N77" s="7">
        <f t="shared" si="8"/>
        <v>-1.91662958</v>
      </c>
      <c r="O77" s="2" t="str">
        <f t="shared" si="9"/>
        <v>Acceptable</v>
      </c>
    </row>
    <row r="78" ht="15.75" customHeight="1">
      <c r="A78" s="1" t="s">
        <v>34</v>
      </c>
      <c r="B78" s="1" t="s">
        <v>16</v>
      </c>
      <c r="C78" s="1" t="s">
        <v>21</v>
      </c>
      <c r="D78" s="1">
        <v>1310.0</v>
      </c>
      <c r="E78" s="1">
        <v>1206.0</v>
      </c>
      <c r="F78" s="1">
        <f t="shared" si="2"/>
        <v>-104</v>
      </c>
      <c r="G78" s="1">
        <f t="shared" si="3"/>
        <v>104</v>
      </c>
      <c r="H78" s="6">
        <f t="shared" si="4"/>
        <v>0.07938931298</v>
      </c>
      <c r="I78" s="6">
        <f t="shared" si="5"/>
        <v>0.920610687</v>
      </c>
      <c r="J78" s="1">
        <f t="shared" si="6"/>
        <v>-104</v>
      </c>
      <c r="K78" s="1" t="str">
        <f t="shared" si="7"/>
        <v>Under Forecast</v>
      </c>
      <c r="L78" s="1">
        <f>F78</f>
        <v>-104</v>
      </c>
      <c r="M78" s="7">
        <f t="shared" si="10"/>
        <v>88.8961039</v>
      </c>
      <c r="N78" s="7">
        <f t="shared" si="8"/>
        <v>-1.16990504</v>
      </c>
      <c r="O78" s="2" t="str">
        <f t="shared" si="9"/>
        <v>Acceptable</v>
      </c>
    </row>
    <row r="79" ht="15.75" customHeight="1">
      <c r="A79" s="1" t="s">
        <v>34</v>
      </c>
      <c r="B79" s="1" t="s">
        <v>16</v>
      </c>
      <c r="C79" s="1" t="s">
        <v>22</v>
      </c>
      <c r="D79" s="1">
        <v>1192.0</v>
      </c>
      <c r="E79" s="1">
        <v>1044.0</v>
      </c>
      <c r="F79" s="1">
        <f t="shared" si="2"/>
        <v>-148</v>
      </c>
      <c r="G79" s="1">
        <f t="shared" si="3"/>
        <v>148</v>
      </c>
      <c r="H79" s="6">
        <f t="shared" si="4"/>
        <v>0.1241610738</v>
      </c>
      <c r="I79" s="6">
        <f t="shared" si="5"/>
        <v>0.8758389262</v>
      </c>
      <c r="J79" s="1">
        <f t="shared" si="6"/>
        <v>-148</v>
      </c>
      <c r="K79" s="1" t="str">
        <f t="shared" si="7"/>
        <v>Under Forecast</v>
      </c>
      <c r="L79" s="1">
        <f>F79+J78</f>
        <v>-252</v>
      </c>
      <c r="M79" s="7">
        <f t="shared" si="10"/>
        <v>89.65384615</v>
      </c>
      <c r="N79" s="7">
        <f t="shared" si="8"/>
        <v>-2.810810811</v>
      </c>
      <c r="O79" s="2" t="str">
        <f t="shared" si="9"/>
        <v>Acceptable</v>
      </c>
    </row>
    <row r="80" ht="15.75" customHeight="1">
      <c r="A80" s="1" t="s">
        <v>34</v>
      </c>
      <c r="B80" s="1" t="s">
        <v>16</v>
      </c>
      <c r="C80" s="1" t="s">
        <v>23</v>
      </c>
      <c r="D80" s="1">
        <v>1341.0</v>
      </c>
      <c r="E80" s="1">
        <v>1312.0</v>
      </c>
      <c r="F80" s="1">
        <f t="shared" si="2"/>
        <v>-29</v>
      </c>
      <c r="G80" s="1">
        <f t="shared" si="3"/>
        <v>29</v>
      </c>
      <c r="H80" s="6">
        <f t="shared" si="4"/>
        <v>0.0216256525</v>
      </c>
      <c r="I80" s="6">
        <f t="shared" si="5"/>
        <v>0.9783743475</v>
      </c>
      <c r="J80" s="1">
        <f t="shared" si="6"/>
        <v>-29</v>
      </c>
      <c r="K80" s="1" t="str">
        <f t="shared" si="7"/>
        <v>Under Forecast</v>
      </c>
      <c r="L80" s="1">
        <f>F80</f>
        <v>-29</v>
      </c>
      <c r="M80" s="7">
        <f t="shared" si="10"/>
        <v>88.88607595</v>
      </c>
      <c r="N80" s="7">
        <f t="shared" si="8"/>
        <v>-0.3262603247</v>
      </c>
      <c r="O80" s="2" t="str">
        <f t="shared" si="9"/>
        <v>Acceptable</v>
      </c>
    </row>
    <row r="81" ht="15.75" customHeight="1">
      <c r="A81" s="1" t="s">
        <v>34</v>
      </c>
      <c r="B81" s="1" t="s">
        <v>16</v>
      </c>
      <c r="C81" s="1" t="s">
        <v>24</v>
      </c>
      <c r="D81" s="1">
        <v>1166.0</v>
      </c>
      <c r="E81" s="1">
        <v>1109.0</v>
      </c>
      <c r="F81" s="1">
        <f t="shared" si="2"/>
        <v>-57</v>
      </c>
      <c r="G81" s="1">
        <f t="shared" si="3"/>
        <v>57</v>
      </c>
      <c r="H81" s="6">
        <f t="shared" si="4"/>
        <v>0.04888507719</v>
      </c>
      <c r="I81" s="6">
        <f t="shared" si="5"/>
        <v>0.9511149228</v>
      </c>
      <c r="J81" s="1">
        <f t="shared" si="6"/>
        <v>-57</v>
      </c>
      <c r="K81" s="1" t="str">
        <f t="shared" si="7"/>
        <v>Under Forecast</v>
      </c>
      <c r="L81" s="1">
        <f>F81+J80</f>
        <v>-86</v>
      </c>
      <c r="M81" s="7">
        <f t="shared" si="10"/>
        <v>88.4875</v>
      </c>
      <c r="N81" s="7">
        <f t="shared" si="8"/>
        <v>-0.9718886848</v>
      </c>
      <c r="O81" s="2" t="str">
        <f t="shared" si="9"/>
        <v>Acceptable</v>
      </c>
    </row>
    <row r="82" ht="15.75" customHeight="1">
      <c r="A82" s="1" t="s">
        <v>34</v>
      </c>
      <c r="B82" s="1" t="s">
        <v>16</v>
      </c>
      <c r="C82" s="1" t="s">
        <v>25</v>
      </c>
      <c r="D82" s="1">
        <v>1172.0</v>
      </c>
      <c r="E82" s="1">
        <v>1140.0</v>
      </c>
      <c r="F82" s="1">
        <f t="shared" si="2"/>
        <v>-32</v>
      </c>
      <c r="G82" s="1">
        <f t="shared" si="3"/>
        <v>32</v>
      </c>
      <c r="H82" s="6">
        <f t="shared" si="4"/>
        <v>0.02730375427</v>
      </c>
      <c r="I82" s="6">
        <f t="shared" si="5"/>
        <v>0.9726962457</v>
      </c>
      <c r="J82" s="1">
        <f t="shared" si="6"/>
        <v>-32</v>
      </c>
      <c r="K82" s="1" t="str">
        <f t="shared" si="7"/>
        <v>Under Forecast</v>
      </c>
      <c r="L82" s="1">
        <f>F82</f>
        <v>-32</v>
      </c>
      <c r="M82" s="7">
        <f t="shared" si="10"/>
        <v>87.79012346</v>
      </c>
      <c r="N82" s="7">
        <f t="shared" si="8"/>
        <v>-0.3645056954</v>
      </c>
      <c r="O82" s="2" t="str">
        <f t="shared" si="9"/>
        <v>Acceptable</v>
      </c>
    </row>
    <row r="83" ht="15.75" customHeight="1">
      <c r="A83" s="1" t="s">
        <v>34</v>
      </c>
      <c r="B83" s="1" t="s">
        <v>16</v>
      </c>
      <c r="C83" s="1" t="s">
        <v>26</v>
      </c>
      <c r="D83" s="1">
        <v>1156.0</v>
      </c>
      <c r="E83" s="1">
        <v>1133.0</v>
      </c>
      <c r="F83" s="1">
        <f t="shared" si="2"/>
        <v>-23</v>
      </c>
      <c r="G83" s="1">
        <f t="shared" si="3"/>
        <v>23</v>
      </c>
      <c r="H83" s="6">
        <f t="shared" si="4"/>
        <v>0.01989619377</v>
      </c>
      <c r="I83" s="6">
        <f t="shared" si="5"/>
        <v>0.9801038062</v>
      </c>
      <c r="J83" s="1">
        <f t="shared" si="6"/>
        <v>-23</v>
      </c>
      <c r="K83" s="1" t="str">
        <f t="shared" si="7"/>
        <v>Under Forecast</v>
      </c>
      <c r="L83" s="1">
        <f>F83+J82</f>
        <v>-55</v>
      </c>
      <c r="M83" s="7">
        <f t="shared" si="10"/>
        <v>87</v>
      </c>
      <c r="N83" s="7">
        <f t="shared" si="8"/>
        <v>-0.632183908</v>
      </c>
      <c r="O83" s="2" t="str">
        <f t="shared" si="9"/>
        <v>Acceptable</v>
      </c>
    </row>
    <row r="84" ht="15.75" customHeight="1">
      <c r="A84" s="1" t="s">
        <v>34</v>
      </c>
      <c r="B84" s="1" t="s">
        <v>16</v>
      </c>
      <c r="C84" s="1" t="s">
        <v>27</v>
      </c>
      <c r="D84" s="1">
        <v>1204.0</v>
      </c>
      <c r="E84" s="1">
        <v>1227.0</v>
      </c>
      <c r="F84" s="1">
        <f t="shared" si="2"/>
        <v>23</v>
      </c>
      <c r="G84" s="1">
        <f t="shared" si="3"/>
        <v>23</v>
      </c>
      <c r="H84" s="6">
        <f t="shared" si="4"/>
        <v>0.01910299003</v>
      </c>
      <c r="I84" s="6">
        <f t="shared" si="5"/>
        <v>0.98089701</v>
      </c>
      <c r="J84" s="1">
        <f t="shared" si="6"/>
        <v>23</v>
      </c>
      <c r="K84" s="1" t="str">
        <f t="shared" si="7"/>
        <v>Over Forecast</v>
      </c>
      <c r="L84" s="1">
        <f>F84</f>
        <v>23</v>
      </c>
      <c r="M84" s="7">
        <f t="shared" si="10"/>
        <v>86.22891566</v>
      </c>
      <c r="N84" s="7">
        <f t="shared" si="8"/>
        <v>0.2667318709</v>
      </c>
      <c r="O84" s="2" t="str">
        <f t="shared" si="9"/>
        <v>Acceptable</v>
      </c>
    </row>
    <row r="85" ht="15.75" customHeight="1">
      <c r="A85" s="1" t="s">
        <v>34</v>
      </c>
      <c r="B85" s="1" t="s">
        <v>16</v>
      </c>
      <c r="C85" s="1" t="s">
        <v>28</v>
      </c>
      <c r="D85" s="1">
        <v>1126.0</v>
      </c>
      <c r="E85" s="1">
        <v>1041.0</v>
      </c>
      <c r="F85" s="1">
        <f t="shared" si="2"/>
        <v>-85</v>
      </c>
      <c r="G85" s="1">
        <f t="shared" si="3"/>
        <v>85</v>
      </c>
      <c r="H85" s="6">
        <f t="shared" si="4"/>
        <v>0.07548845471</v>
      </c>
      <c r="I85" s="6">
        <f t="shared" si="5"/>
        <v>0.9245115453</v>
      </c>
      <c r="J85" s="1">
        <f t="shared" si="6"/>
        <v>-85</v>
      </c>
      <c r="K85" s="1" t="str">
        <f t="shared" si="7"/>
        <v>Under Forecast</v>
      </c>
      <c r="L85" s="1">
        <f>F85+J84</f>
        <v>-62</v>
      </c>
      <c r="M85" s="7">
        <f t="shared" si="10"/>
        <v>86.21428571</v>
      </c>
      <c r="N85" s="7">
        <f t="shared" si="8"/>
        <v>-0.7191383596</v>
      </c>
      <c r="O85" s="2" t="str">
        <f t="shared" si="9"/>
        <v>Acceptable</v>
      </c>
    </row>
    <row r="86" ht="15.75" customHeight="1">
      <c r="A86" s="1" t="s">
        <v>35</v>
      </c>
      <c r="B86" s="1" t="s">
        <v>16</v>
      </c>
      <c r="C86" s="1" t="s">
        <v>17</v>
      </c>
      <c r="D86" s="1">
        <v>1216.0</v>
      </c>
      <c r="E86" s="1">
        <v>1314.0</v>
      </c>
      <c r="F86" s="1">
        <f t="shared" si="2"/>
        <v>98</v>
      </c>
      <c r="G86" s="1">
        <f t="shared" si="3"/>
        <v>98</v>
      </c>
      <c r="H86" s="6">
        <f t="shared" si="4"/>
        <v>0.08059210526</v>
      </c>
      <c r="I86" s="6">
        <f t="shared" si="5"/>
        <v>0.9194078947</v>
      </c>
      <c r="J86" s="1">
        <f t="shared" si="6"/>
        <v>98</v>
      </c>
      <c r="K86" s="1" t="str">
        <f t="shared" si="7"/>
        <v>Over Forecast</v>
      </c>
      <c r="L86" s="1">
        <f>F86</f>
        <v>98</v>
      </c>
      <c r="M86" s="7">
        <f t="shared" si="10"/>
        <v>86.35294118</v>
      </c>
      <c r="N86" s="7">
        <f t="shared" si="8"/>
        <v>1.134877384</v>
      </c>
      <c r="O86" s="2" t="str">
        <f t="shared" si="9"/>
        <v>Acceptable</v>
      </c>
    </row>
    <row r="87" ht="15.75" customHeight="1">
      <c r="A87" s="1" t="s">
        <v>35</v>
      </c>
      <c r="B87" s="1" t="s">
        <v>16</v>
      </c>
      <c r="C87" s="1" t="s">
        <v>18</v>
      </c>
      <c r="D87" s="1">
        <v>1175.0</v>
      </c>
      <c r="E87" s="1">
        <v>1172.0</v>
      </c>
      <c r="F87" s="1">
        <f t="shared" si="2"/>
        <v>-3</v>
      </c>
      <c r="G87" s="1">
        <f t="shared" si="3"/>
        <v>3</v>
      </c>
      <c r="H87" s="6">
        <f t="shared" si="4"/>
        <v>0.002553191489</v>
      </c>
      <c r="I87" s="6">
        <f t="shared" si="5"/>
        <v>0.9974468085</v>
      </c>
      <c r="J87" s="1">
        <f t="shared" si="6"/>
        <v>-3</v>
      </c>
      <c r="K87" s="1" t="str">
        <f t="shared" si="7"/>
        <v>Under Forecast</v>
      </c>
      <c r="L87" s="1">
        <f>F87+J86</f>
        <v>95</v>
      </c>
      <c r="M87" s="7">
        <f t="shared" si="10"/>
        <v>85.38372093</v>
      </c>
      <c r="N87" s="7">
        <f t="shared" si="8"/>
        <v>1.112624268</v>
      </c>
      <c r="O87" s="2" t="str">
        <f t="shared" si="9"/>
        <v>Acceptable</v>
      </c>
    </row>
    <row r="88" ht="15.75" customHeight="1">
      <c r="A88" s="1" t="s">
        <v>35</v>
      </c>
      <c r="B88" s="1" t="s">
        <v>16</v>
      </c>
      <c r="C88" s="1" t="s">
        <v>19</v>
      </c>
      <c r="D88" s="1">
        <v>1415.0</v>
      </c>
      <c r="E88" s="1">
        <v>1489.0</v>
      </c>
      <c r="F88" s="1">
        <f t="shared" si="2"/>
        <v>74</v>
      </c>
      <c r="G88" s="1">
        <f t="shared" si="3"/>
        <v>74</v>
      </c>
      <c r="H88" s="6">
        <f t="shared" si="4"/>
        <v>0.05229681979</v>
      </c>
      <c r="I88" s="6">
        <f t="shared" si="5"/>
        <v>0.9477031802</v>
      </c>
      <c r="J88" s="1">
        <f t="shared" si="6"/>
        <v>74</v>
      </c>
      <c r="K88" s="1" t="str">
        <f t="shared" si="7"/>
        <v>Over Forecast</v>
      </c>
      <c r="L88" s="1">
        <f>F88</f>
        <v>74</v>
      </c>
      <c r="M88" s="7">
        <f t="shared" si="10"/>
        <v>85.25287356</v>
      </c>
      <c r="N88" s="7">
        <f t="shared" si="8"/>
        <v>0.8680059323</v>
      </c>
      <c r="O88" s="2" t="str">
        <f t="shared" si="9"/>
        <v>Acceptable</v>
      </c>
    </row>
    <row r="89" ht="15.75" customHeight="1">
      <c r="A89" s="1" t="s">
        <v>35</v>
      </c>
      <c r="B89" s="1" t="s">
        <v>16</v>
      </c>
      <c r="C89" s="1" t="s">
        <v>20</v>
      </c>
      <c r="D89" s="1">
        <v>1263.0</v>
      </c>
      <c r="E89" s="1">
        <v>1426.0</v>
      </c>
      <c r="F89" s="1">
        <f t="shared" si="2"/>
        <v>163</v>
      </c>
      <c r="G89" s="1">
        <f t="shared" si="3"/>
        <v>163</v>
      </c>
      <c r="H89" s="6">
        <f t="shared" si="4"/>
        <v>0.1290577989</v>
      </c>
      <c r="I89" s="6">
        <f t="shared" si="5"/>
        <v>0.8709422011</v>
      </c>
      <c r="J89" s="1">
        <f t="shared" si="6"/>
        <v>163</v>
      </c>
      <c r="K89" s="1" t="str">
        <f t="shared" si="7"/>
        <v>Over Forecast</v>
      </c>
      <c r="L89" s="1">
        <f>F89+J88</f>
        <v>237</v>
      </c>
      <c r="M89" s="7">
        <f t="shared" si="10"/>
        <v>86.13636364</v>
      </c>
      <c r="N89" s="7">
        <f t="shared" si="8"/>
        <v>2.751451187</v>
      </c>
      <c r="O89" s="2" t="str">
        <f t="shared" si="9"/>
        <v>Acceptable</v>
      </c>
    </row>
    <row r="90" ht="15.75" customHeight="1">
      <c r="A90" s="1" t="s">
        <v>35</v>
      </c>
      <c r="B90" s="1" t="s">
        <v>16</v>
      </c>
      <c r="C90" s="1" t="s">
        <v>21</v>
      </c>
      <c r="D90" s="1">
        <v>1489.0</v>
      </c>
      <c r="E90" s="1">
        <v>1577.0</v>
      </c>
      <c r="F90" s="1">
        <f t="shared" si="2"/>
        <v>88</v>
      </c>
      <c r="G90" s="1">
        <f t="shared" si="3"/>
        <v>88</v>
      </c>
      <c r="H90" s="6">
        <f t="shared" si="4"/>
        <v>0.05910006716</v>
      </c>
      <c r="I90" s="6">
        <f t="shared" si="5"/>
        <v>0.9408999328</v>
      </c>
      <c r="J90" s="1">
        <f t="shared" si="6"/>
        <v>88</v>
      </c>
      <c r="K90" s="1" t="str">
        <f t="shared" si="7"/>
        <v>Over Forecast</v>
      </c>
      <c r="L90" s="1">
        <f>F90</f>
        <v>88</v>
      </c>
      <c r="M90" s="7">
        <f t="shared" si="10"/>
        <v>86.15730337</v>
      </c>
      <c r="N90" s="7">
        <f t="shared" si="8"/>
        <v>1.021387585</v>
      </c>
      <c r="O90" s="2" t="str">
        <f t="shared" si="9"/>
        <v>Acceptable</v>
      </c>
    </row>
    <row r="91" ht="15.75" customHeight="1">
      <c r="A91" s="1" t="s">
        <v>35</v>
      </c>
      <c r="B91" s="1" t="s">
        <v>16</v>
      </c>
      <c r="C91" s="1" t="s">
        <v>22</v>
      </c>
      <c r="D91" s="1">
        <v>1491.0</v>
      </c>
      <c r="E91" s="1">
        <v>1491.0</v>
      </c>
      <c r="F91" s="1">
        <f t="shared" si="2"/>
        <v>0</v>
      </c>
      <c r="G91" s="1">
        <f t="shared" si="3"/>
        <v>0</v>
      </c>
      <c r="H91" s="6">
        <f t="shared" si="4"/>
        <v>0</v>
      </c>
      <c r="I91" s="6">
        <f t="shared" si="5"/>
        <v>1</v>
      </c>
      <c r="J91" s="1">
        <f t="shared" si="6"/>
        <v>0</v>
      </c>
      <c r="K91" s="1" t="str">
        <f t="shared" si="7"/>
        <v>Accurate Forecast</v>
      </c>
      <c r="L91" s="1">
        <f>F91+J90</f>
        <v>88</v>
      </c>
      <c r="M91" s="7">
        <f t="shared" si="10"/>
        <v>85.2</v>
      </c>
      <c r="N91" s="7">
        <f t="shared" si="8"/>
        <v>1.03286385</v>
      </c>
      <c r="O91" s="2" t="str">
        <f t="shared" si="9"/>
        <v>Acceptable</v>
      </c>
    </row>
    <row r="92" ht="15.75" customHeight="1">
      <c r="A92" s="1" t="s">
        <v>35</v>
      </c>
      <c r="B92" s="1" t="s">
        <v>16</v>
      </c>
      <c r="C92" s="1" t="s">
        <v>23</v>
      </c>
      <c r="D92" s="1">
        <v>1346.0</v>
      </c>
      <c r="E92" s="1">
        <v>1456.0</v>
      </c>
      <c r="F92" s="1">
        <f t="shared" si="2"/>
        <v>110</v>
      </c>
      <c r="G92" s="1">
        <f t="shared" si="3"/>
        <v>110</v>
      </c>
      <c r="H92" s="6">
        <f t="shared" si="4"/>
        <v>0.08172362556</v>
      </c>
      <c r="I92" s="6">
        <f t="shared" si="5"/>
        <v>0.9182763744</v>
      </c>
      <c r="J92" s="1">
        <f t="shared" si="6"/>
        <v>110</v>
      </c>
      <c r="K92" s="1" t="str">
        <f t="shared" si="7"/>
        <v>Over Forecast</v>
      </c>
      <c r="L92" s="1">
        <f>F92</f>
        <v>110</v>
      </c>
      <c r="M92" s="7">
        <f t="shared" si="10"/>
        <v>85.47252747</v>
      </c>
      <c r="N92" s="7">
        <f t="shared" si="8"/>
        <v>1.28696323</v>
      </c>
      <c r="O92" s="2" t="str">
        <f t="shared" si="9"/>
        <v>Acceptable</v>
      </c>
    </row>
    <row r="93" ht="15.75" customHeight="1">
      <c r="A93" s="1" t="s">
        <v>35</v>
      </c>
      <c r="B93" s="1" t="s">
        <v>16</v>
      </c>
      <c r="C93" s="1" t="s">
        <v>24</v>
      </c>
      <c r="D93" s="1">
        <v>1449.0</v>
      </c>
      <c r="E93" s="1">
        <v>1604.0</v>
      </c>
      <c r="F93" s="1">
        <f t="shared" si="2"/>
        <v>155</v>
      </c>
      <c r="G93" s="1">
        <f t="shared" si="3"/>
        <v>155</v>
      </c>
      <c r="H93" s="6">
        <f t="shared" si="4"/>
        <v>0.1069703244</v>
      </c>
      <c r="I93" s="6">
        <f t="shared" si="5"/>
        <v>0.8930296756</v>
      </c>
      <c r="J93" s="1">
        <f t="shared" si="6"/>
        <v>155</v>
      </c>
      <c r="K93" s="1" t="str">
        <f t="shared" si="7"/>
        <v>Over Forecast</v>
      </c>
      <c r="L93" s="1">
        <f>F93+J92</f>
        <v>265</v>
      </c>
      <c r="M93" s="7">
        <f t="shared" si="10"/>
        <v>86.22826087</v>
      </c>
      <c r="N93" s="7">
        <f t="shared" si="8"/>
        <v>3.073238371</v>
      </c>
      <c r="O93" s="2" t="str">
        <f t="shared" si="9"/>
        <v>Acceptable</v>
      </c>
    </row>
    <row r="94" ht="15.75" customHeight="1">
      <c r="A94" s="1" t="s">
        <v>35</v>
      </c>
      <c r="B94" s="1" t="s">
        <v>16</v>
      </c>
      <c r="C94" s="1" t="s">
        <v>25</v>
      </c>
      <c r="D94" s="1">
        <v>1254.0</v>
      </c>
      <c r="E94" s="1">
        <v>1394.0</v>
      </c>
      <c r="F94" s="1">
        <f t="shared" si="2"/>
        <v>140</v>
      </c>
      <c r="G94" s="1">
        <f t="shared" si="3"/>
        <v>140</v>
      </c>
      <c r="H94" s="6">
        <f t="shared" si="4"/>
        <v>0.1116427432</v>
      </c>
      <c r="I94" s="6">
        <f t="shared" si="5"/>
        <v>0.8883572568</v>
      </c>
      <c r="J94" s="1">
        <f t="shared" si="6"/>
        <v>140</v>
      </c>
      <c r="K94" s="1" t="str">
        <f t="shared" si="7"/>
        <v>Over Forecast</v>
      </c>
      <c r="L94" s="1">
        <f>F94</f>
        <v>140</v>
      </c>
      <c r="M94" s="7">
        <f t="shared" si="10"/>
        <v>86.80645161</v>
      </c>
      <c r="N94" s="7">
        <f t="shared" si="8"/>
        <v>1.612783352</v>
      </c>
      <c r="O94" s="2" t="str">
        <f t="shared" si="9"/>
        <v>Acceptable</v>
      </c>
    </row>
    <row r="95" ht="15.75" customHeight="1">
      <c r="A95" s="1" t="s">
        <v>35</v>
      </c>
      <c r="B95" s="1" t="s">
        <v>16</v>
      </c>
      <c r="C95" s="1" t="s">
        <v>26</v>
      </c>
      <c r="D95" s="1">
        <v>1339.0</v>
      </c>
      <c r="E95" s="1">
        <v>1499.0</v>
      </c>
      <c r="F95" s="1">
        <f t="shared" si="2"/>
        <v>160</v>
      </c>
      <c r="G95" s="1">
        <f t="shared" si="3"/>
        <v>160</v>
      </c>
      <c r="H95" s="6">
        <f t="shared" si="4"/>
        <v>0.1194921583</v>
      </c>
      <c r="I95" s="6">
        <f t="shared" si="5"/>
        <v>0.8805078417</v>
      </c>
      <c r="J95" s="1">
        <f t="shared" si="6"/>
        <v>160</v>
      </c>
      <c r="K95" s="1" t="str">
        <f t="shared" si="7"/>
        <v>Over Forecast</v>
      </c>
      <c r="L95" s="1">
        <f>F95+J94</f>
        <v>300</v>
      </c>
      <c r="M95" s="7">
        <f t="shared" si="10"/>
        <v>87.58510638</v>
      </c>
      <c r="N95" s="7">
        <f t="shared" si="8"/>
        <v>3.425239888</v>
      </c>
      <c r="O95" s="2" t="str">
        <f t="shared" si="9"/>
        <v>Acceptable</v>
      </c>
    </row>
    <row r="96" ht="15.75" customHeight="1">
      <c r="A96" s="1" t="s">
        <v>35</v>
      </c>
      <c r="B96" s="1" t="s">
        <v>16</v>
      </c>
      <c r="C96" s="1" t="s">
        <v>27</v>
      </c>
      <c r="D96" s="1">
        <v>1294.0</v>
      </c>
      <c r="E96" s="1">
        <v>1393.0</v>
      </c>
      <c r="F96" s="1">
        <f t="shared" si="2"/>
        <v>99</v>
      </c>
      <c r="G96" s="1">
        <f t="shared" si="3"/>
        <v>99</v>
      </c>
      <c r="H96" s="6">
        <f t="shared" si="4"/>
        <v>0.07650695518</v>
      </c>
      <c r="I96" s="6">
        <f t="shared" si="5"/>
        <v>0.9234930448</v>
      </c>
      <c r="J96" s="1">
        <f t="shared" si="6"/>
        <v>99</v>
      </c>
      <c r="K96" s="1" t="str">
        <f t="shared" si="7"/>
        <v>Over Forecast</v>
      </c>
      <c r="L96" s="1">
        <f>F96</f>
        <v>99</v>
      </c>
      <c r="M96" s="7">
        <f t="shared" si="10"/>
        <v>87.70526316</v>
      </c>
      <c r="N96" s="7">
        <f t="shared" si="8"/>
        <v>1.128780605</v>
      </c>
      <c r="O96" s="2" t="str">
        <f t="shared" si="9"/>
        <v>Acceptable</v>
      </c>
    </row>
    <row r="97" ht="15.75" customHeight="1">
      <c r="A97" s="1" t="s">
        <v>35</v>
      </c>
      <c r="B97" s="1" t="s">
        <v>16</v>
      </c>
      <c r="C97" s="1" t="s">
        <v>28</v>
      </c>
      <c r="D97" s="1">
        <v>1203.0</v>
      </c>
      <c r="E97" s="1">
        <v>1238.0</v>
      </c>
      <c r="F97" s="1">
        <f t="shared" si="2"/>
        <v>35</v>
      </c>
      <c r="G97" s="1">
        <f t="shared" si="3"/>
        <v>35</v>
      </c>
      <c r="H97" s="6">
        <f t="shared" si="4"/>
        <v>0.02909393184</v>
      </c>
      <c r="I97" s="6">
        <f t="shared" si="5"/>
        <v>0.9709060682</v>
      </c>
      <c r="J97" s="1">
        <f t="shared" si="6"/>
        <v>35</v>
      </c>
      <c r="K97" s="1" t="str">
        <f t="shared" si="7"/>
        <v>Over Forecast</v>
      </c>
      <c r="L97" s="1">
        <f>F97+J96</f>
        <v>134</v>
      </c>
      <c r="M97" s="7">
        <f t="shared" si="10"/>
        <v>87.15625</v>
      </c>
      <c r="N97" s="7">
        <f t="shared" si="8"/>
        <v>1.537468627</v>
      </c>
      <c r="O97" s="2" t="str">
        <f t="shared" si="9"/>
        <v>Acceptable</v>
      </c>
    </row>
    <row r="98" ht="15.75" customHeight="1">
      <c r="A98" s="1" t="s">
        <v>36</v>
      </c>
      <c r="B98" s="1" t="s">
        <v>16</v>
      </c>
      <c r="C98" s="1" t="s">
        <v>17</v>
      </c>
      <c r="D98" s="1">
        <v>839.0</v>
      </c>
      <c r="E98" s="1">
        <v>770.0</v>
      </c>
      <c r="F98" s="1">
        <f t="shared" si="2"/>
        <v>-69</v>
      </c>
      <c r="G98" s="1">
        <f t="shared" si="3"/>
        <v>69</v>
      </c>
      <c r="H98" s="6">
        <f t="shared" si="4"/>
        <v>0.08224076281</v>
      </c>
      <c r="I98" s="6">
        <f t="shared" si="5"/>
        <v>0.9177592372</v>
      </c>
      <c r="J98" s="1">
        <f t="shared" si="6"/>
        <v>-69</v>
      </c>
      <c r="K98" s="1" t="str">
        <f t="shared" si="7"/>
        <v>Under Forecast</v>
      </c>
      <c r="L98" s="1">
        <f>F98</f>
        <v>-69</v>
      </c>
      <c r="M98" s="7">
        <f t="shared" si="10"/>
        <v>86.96907216</v>
      </c>
      <c r="N98" s="7">
        <f t="shared" si="8"/>
        <v>-0.7933854908</v>
      </c>
      <c r="O98" s="2" t="str">
        <f t="shared" si="9"/>
        <v>Acceptable</v>
      </c>
    </row>
    <row r="99" ht="15.75" customHeight="1">
      <c r="A99" s="1" t="s">
        <v>36</v>
      </c>
      <c r="B99" s="1" t="s">
        <v>16</v>
      </c>
      <c r="C99" s="1" t="s">
        <v>18</v>
      </c>
      <c r="D99" s="1">
        <v>929.0</v>
      </c>
      <c r="E99" s="1">
        <v>874.0</v>
      </c>
      <c r="F99" s="1">
        <f t="shared" si="2"/>
        <v>-55</v>
      </c>
      <c r="G99" s="1">
        <f t="shared" si="3"/>
        <v>55</v>
      </c>
      <c r="H99" s="6">
        <f t="shared" si="4"/>
        <v>0.05920344456</v>
      </c>
      <c r="I99" s="6">
        <f t="shared" si="5"/>
        <v>0.9407965554</v>
      </c>
      <c r="J99" s="1">
        <f t="shared" si="6"/>
        <v>-55</v>
      </c>
      <c r="K99" s="1" t="str">
        <f t="shared" si="7"/>
        <v>Under Forecast</v>
      </c>
      <c r="L99" s="1">
        <f>F99+J98</f>
        <v>-124</v>
      </c>
      <c r="M99" s="7">
        <f t="shared" si="10"/>
        <v>86.64285714</v>
      </c>
      <c r="N99" s="7">
        <f t="shared" si="8"/>
        <v>-1.431162407</v>
      </c>
      <c r="O99" s="2" t="str">
        <f t="shared" si="9"/>
        <v>Acceptable</v>
      </c>
    </row>
    <row r="100" ht="15.75" customHeight="1">
      <c r="A100" s="1" t="s">
        <v>36</v>
      </c>
      <c r="B100" s="1" t="s">
        <v>16</v>
      </c>
      <c r="C100" s="1" t="s">
        <v>19</v>
      </c>
      <c r="D100" s="1">
        <v>1096.0</v>
      </c>
      <c r="E100" s="1">
        <v>984.0</v>
      </c>
      <c r="F100" s="1">
        <f t="shared" si="2"/>
        <v>-112</v>
      </c>
      <c r="G100" s="1">
        <f t="shared" si="3"/>
        <v>112</v>
      </c>
      <c r="H100" s="6">
        <f t="shared" si="4"/>
        <v>0.102189781</v>
      </c>
      <c r="I100" s="6">
        <f t="shared" si="5"/>
        <v>0.897810219</v>
      </c>
      <c r="J100" s="1">
        <f t="shared" si="6"/>
        <v>-112</v>
      </c>
      <c r="K100" s="1" t="str">
        <f t="shared" si="7"/>
        <v>Under Forecast</v>
      </c>
      <c r="L100" s="1">
        <f>F100</f>
        <v>-112</v>
      </c>
      <c r="M100" s="7">
        <f t="shared" si="10"/>
        <v>86.8989899</v>
      </c>
      <c r="N100" s="7">
        <f t="shared" si="8"/>
        <v>-1.288852726</v>
      </c>
      <c r="O100" s="2" t="str">
        <f t="shared" si="9"/>
        <v>Acceptable</v>
      </c>
    </row>
    <row r="101" ht="15.75" customHeight="1">
      <c r="A101" s="1" t="s">
        <v>36</v>
      </c>
      <c r="B101" s="1" t="s">
        <v>16</v>
      </c>
      <c r="C101" s="1" t="s">
        <v>20</v>
      </c>
      <c r="D101" s="1">
        <v>955.0</v>
      </c>
      <c r="E101" s="1">
        <v>906.0</v>
      </c>
      <c r="F101" s="1">
        <f t="shared" si="2"/>
        <v>-49</v>
      </c>
      <c r="G101" s="1">
        <f t="shared" si="3"/>
        <v>49</v>
      </c>
      <c r="H101" s="6">
        <f t="shared" si="4"/>
        <v>0.05130890052</v>
      </c>
      <c r="I101" s="6">
        <f t="shared" si="5"/>
        <v>0.9486910995</v>
      </c>
      <c r="J101" s="1">
        <f t="shared" si="6"/>
        <v>-49</v>
      </c>
      <c r="K101" s="1" t="str">
        <f t="shared" si="7"/>
        <v>Under Forecast</v>
      </c>
      <c r="L101" s="1">
        <f>F101+J100</f>
        <v>-161</v>
      </c>
      <c r="M101" s="7">
        <f t="shared" si="10"/>
        <v>86.52</v>
      </c>
      <c r="N101" s="7">
        <f t="shared" si="8"/>
        <v>-1.860841424</v>
      </c>
      <c r="O101" s="2" t="str">
        <f t="shared" si="9"/>
        <v>Acceptable</v>
      </c>
    </row>
    <row r="102" ht="15.75" customHeight="1">
      <c r="A102" s="1" t="s">
        <v>36</v>
      </c>
      <c r="B102" s="1" t="s">
        <v>16</v>
      </c>
      <c r="C102" s="1" t="s">
        <v>21</v>
      </c>
      <c r="D102" s="1">
        <v>1046.0</v>
      </c>
      <c r="E102" s="1">
        <v>971.0</v>
      </c>
      <c r="F102" s="1">
        <f t="shared" si="2"/>
        <v>-75</v>
      </c>
      <c r="G102" s="1">
        <f t="shared" si="3"/>
        <v>75</v>
      </c>
      <c r="H102" s="6">
        <f t="shared" si="4"/>
        <v>0.07170172084</v>
      </c>
      <c r="I102" s="6">
        <f t="shared" si="5"/>
        <v>0.9282982792</v>
      </c>
      <c r="J102" s="1">
        <f t="shared" si="6"/>
        <v>-75</v>
      </c>
      <c r="K102" s="1" t="str">
        <f t="shared" si="7"/>
        <v>Under Forecast</v>
      </c>
      <c r="L102" s="1">
        <f>F102</f>
        <v>-75</v>
      </c>
      <c r="M102" s="7">
        <f t="shared" si="10"/>
        <v>86.40594059</v>
      </c>
      <c r="N102" s="7">
        <f t="shared" si="8"/>
        <v>-0.8679958749</v>
      </c>
      <c r="O102" s="2" t="str">
        <f t="shared" si="9"/>
        <v>Acceptable</v>
      </c>
    </row>
    <row r="103" ht="15.75" customHeight="1">
      <c r="A103" s="1" t="s">
        <v>36</v>
      </c>
      <c r="B103" s="1" t="s">
        <v>16</v>
      </c>
      <c r="C103" s="1" t="s">
        <v>22</v>
      </c>
      <c r="D103" s="1">
        <v>1229.0</v>
      </c>
      <c r="E103" s="1">
        <v>1210.0</v>
      </c>
      <c r="F103" s="1">
        <f t="shared" si="2"/>
        <v>-19</v>
      </c>
      <c r="G103" s="1">
        <f t="shared" si="3"/>
        <v>19</v>
      </c>
      <c r="H103" s="6">
        <f t="shared" si="4"/>
        <v>0.01545972335</v>
      </c>
      <c r="I103" s="6">
        <f t="shared" si="5"/>
        <v>0.9845402766</v>
      </c>
      <c r="J103" s="1">
        <f t="shared" si="6"/>
        <v>-19</v>
      </c>
      <c r="K103" s="1" t="str">
        <f t="shared" si="7"/>
        <v>Under Forecast</v>
      </c>
      <c r="L103" s="1">
        <f>F103+J102</f>
        <v>-94</v>
      </c>
      <c r="M103" s="7">
        <f t="shared" si="10"/>
        <v>85.74509804</v>
      </c>
      <c r="N103" s="7">
        <f t="shared" si="8"/>
        <v>-1.096272582</v>
      </c>
      <c r="O103" s="2" t="str">
        <f t="shared" si="9"/>
        <v>Acceptable</v>
      </c>
    </row>
    <row r="104" ht="15.75" customHeight="1">
      <c r="A104" s="1" t="s">
        <v>36</v>
      </c>
      <c r="B104" s="1" t="s">
        <v>16</v>
      </c>
      <c r="C104" s="1" t="s">
        <v>23</v>
      </c>
      <c r="D104" s="1">
        <v>1180.0</v>
      </c>
      <c r="E104" s="1">
        <v>1129.0</v>
      </c>
      <c r="F104" s="1">
        <f t="shared" si="2"/>
        <v>-51</v>
      </c>
      <c r="G104" s="1">
        <f t="shared" si="3"/>
        <v>51</v>
      </c>
      <c r="H104" s="6">
        <f t="shared" si="4"/>
        <v>0.04322033898</v>
      </c>
      <c r="I104" s="6">
        <f t="shared" si="5"/>
        <v>0.956779661</v>
      </c>
      <c r="J104" s="1">
        <f t="shared" si="6"/>
        <v>-51</v>
      </c>
      <c r="K104" s="1" t="str">
        <f t="shared" si="7"/>
        <v>Under Forecast</v>
      </c>
      <c r="L104" s="1">
        <f>F104</f>
        <v>-51</v>
      </c>
      <c r="M104" s="7">
        <f t="shared" si="10"/>
        <v>85.40776699</v>
      </c>
      <c r="N104" s="7">
        <f t="shared" si="8"/>
        <v>-0.5971353871</v>
      </c>
      <c r="O104" s="2" t="str">
        <f t="shared" si="9"/>
        <v>Acceptable</v>
      </c>
    </row>
    <row r="105" ht="15.75" customHeight="1">
      <c r="A105" s="1" t="s">
        <v>36</v>
      </c>
      <c r="B105" s="1" t="s">
        <v>16</v>
      </c>
      <c r="C105" s="1" t="s">
        <v>24</v>
      </c>
      <c r="D105" s="1">
        <v>1220.0</v>
      </c>
      <c r="E105" s="1">
        <v>1185.0</v>
      </c>
      <c r="F105" s="1">
        <f t="shared" si="2"/>
        <v>-35</v>
      </c>
      <c r="G105" s="1">
        <f t="shared" si="3"/>
        <v>35</v>
      </c>
      <c r="H105" s="6">
        <f t="shared" si="4"/>
        <v>0.02868852459</v>
      </c>
      <c r="I105" s="6">
        <f t="shared" si="5"/>
        <v>0.9713114754</v>
      </c>
      <c r="J105" s="1">
        <f t="shared" si="6"/>
        <v>-35</v>
      </c>
      <c r="K105" s="1" t="str">
        <f t="shared" si="7"/>
        <v>Under Forecast</v>
      </c>
      <c r="L105" s="1">
        <f>F105+J104</f>
        <v>-86</v>
      </c>
      <c r="M105" s="7">
        <f t="shared" si="10"/>
        <v>84.92307692</v>
      </c>
      <c r="N105" s="7">
        <f t="shared" si="8"/>
        <v>-1.012681159</v>
      </c>
      <c r="O105" s="2" t="str">
        <f t="shared" si="9"/>
        <v>Acceptable</v>
      </c>
    </row>
    <row r="106" ht="15.75" customHeight="1">
      <c r="A106" s="1" t="s">
        <v>36</v>
      </c>
      <c r="B106" s="1" t="s">
        <v>16</v>
      </c>
      <c r="C106" s="1" t="s">
        <v>25</v>
      </c>
      <c r="D106" s="1">
        <v>1125.0</v>
      </c>
      <c r="E106" s="1">
        <v>1084.0</v>
      </c>
      <c r="F106" s="1">
        <f t="shared" si="2"/>
        <v>-41</v>
      </c>
      <c r="G106" s="1">
        <f t="shared" si="3"/>
        <v>41</v>
      </c>
      <c r="H106" s="6">
        <f t="shared" si="4"/>
        <v>0.03644444444</v>
      </c>
      <c r="I106" s="6">
        <f t="shared" si="5"/>
        <v>0.9635555556</v>
      </c>
      <c r="J106" s="1">
        <f t="shared" si="6"/>
        <v>-41</v>
      </c>
      <c r="K106" s="1" t="str">
        <f t="shared" si="7"/>
        <v>Under Forecast</v>
      </c>
      <c r="L106" s="1">
        <f>F106</f>
        <v>-41</v>
      </c>
      <c r="M106" s="7">
        <f t="shared" si="10"/>
        <v>84.5047619</v>
      </c>
      <c r="N106" s="7">
        <f t="shared" si="8"/>
        <v>-0.4851797588</v>
      </c>
      <c r="O106" s="2" t="str">
        <f t="shared" si="9"/>
        <v>Acceptable</v>
      </c>
    </row>
    <row r="107" ht="15.75" customHeight="1">
      <c r="A107" s="1" t="s">
        <v>36</v>
      </c>
      <c r="B107" s="1" t="s">
        <v>16</v>
      </c>
      <c r="C107" s="1" t="s">
        <v>26</v>
      </c>
      <c r="D107" s="1">
        <v>1308.0</v>
      </c>
      <c r="E107" s="1">
        <v>1239.0</v>
      </c>
      <c r="F107" s="1">
        <f t="shared" si="2"/>
        <v>-69</v>
      </c>
      <c r="G107" s="1">
        <f t="shared" si="3"/>
        <v>69</v>
      </c>
      <c r="H107" s="6">
        <f t="shared" si="4"/>
        <v>0.05275229358</v>
      </c>
      <c r="I107" s="6">
        <f t="shared" si="5"/>
        <v>0.9472477064</v>
      </c>
      <c r="J107" s="1">
        <f t="shared" si="6"/>
        <v>-69</v>
      </c>
      <c r="K107" s="1" t="str">
        <f t="shared" si="7"/>
        <v>Under Forecast</v>
      </c>
      <c r="L107" s="1">
        <f>F107+J106</f>
        <v>-110</v>
      </c>
      <c r="M107" s="7">
        <f t="shared" si="10"/>
        <v>84.35849057</v>
      </c>
      <c r="N107" s="7">
        <f t="shared" si="8"/>
        <v>-1.303958846</v>
      </c>
      <c r="O107" s="2" t="str">
        <f t="shared" si="9"/>
        <v>Acceptable</v>
      </c>
    </row>
    <row r="108" ht="15.75" customHeight="1">
      <c r="A108" s="1" t="s">
        <v>36</v>
      </c>
      <c r="B108" s="1" t="s">
        <v>16</v>
      </c>
      <c r="C108" s="1" t="s">
        <v>27</v>
      </c>
      <c r="D108" s="1">
        <v>1302.0</v>
      </c>
      <c r="E108" s="1">
        <v>1223.0</v>
      </c>
      <c r="F108" s="1">
        <f t="shared" si="2"/>
        <v>-79</v>
      </c>
      <c r="G108" s="1">
        <f t="shared" si="3"/>
        <v>79</v>
      </c>
      <c r="H108" s="6">
        <f t="shared" si="4"/>
        <v>0.06067588326</v>
      </c>
      <c r="I108" s="6">
        <f t="shared" si="5"/>
        <v>0.9393241167</v>
      </c>
      <c r="J108" s="1">
        <f t="shared" si="6"/>
        <v>-79</v>
      </c>
      <c r="K108" s="1" t="str">
        <f t="shared" si="7"/>
        <v>Under Forecast</v>
      </c>
      <c r="L108" s="1">
        <f>F108</f>
        <v>-79</v>
      </c>
      <c r="M108" s="7">
        <f t="shared" si="10"/>
        <v>84.30841121</v>
      </c>
      <c r="N108" s="7">
        <f t="shared" si="8"/>
        <v>-0.9370358053</v>
      </c>
      <c r="O108" s="2" t="str">
        <f t="shared" si="9"/>
        <v>Acceptable</v>
      </c>
    </row>
    <row r="109" ht="15.75" customHeight="1">
      <c r="A109" s="1" t="s">
        <v>36</v>
      </c>
      <c r="B109" s="1" t="s">
        <v>16</v>
      </c>
      <c r="C109" s="1" t="s">
        <v>28</v>
      </c>
      <c r="D109" s="1">
        <v>1165.0</v>
      </c>
      <c r="E109" s="1">
        <v>1133.0</v>
      </c>
      <c r="F109" s="1">
        <f t="shared" si="2"/>
        <v>-32</v>
      </c>
      <c r="G109" s="1">
        <f t="shared" si="3"/>
        <v>32</v>
      </c>
      <c r="H109" s="6">
        <f t="shared" si="4"/>
        <v>0.02746781116</v>
      </c>
      <c r="I109" s="6">
        <f t="shared" si="5"/>
        <v>0.9725321888</v>
      </c>
      <c r="J109" s="1">
        <f t="shared" si="6"/>
        <v>-32</v>
      </c>
      <c r="K109" s="1" t="str">
        <f t="shared" si="7"/>
        <v>Under Forecast</v>
      </c>
      <c r="L109" s="1">
        <f>F109+J108</f>
        <v>-111</v>
      </c>
      <c r="M109" s="7">
        <f t="shared" si="10"/>
        <v>83.82407407</v>
      </c>
      <c r="N109" s="7">
        <f t="shared" si="8"/>
        <v>-1.324201922</v>
      </c>
      <c r="O109" s="2" t="str">
        <f t="shared" si="9"/>
        <v>Acceptable</v>
      </c>
    </row>
    <row r="110" ht="15.75" customHeight="1">
      <c r="A110" s="1" t="s">
        <v>37</v>
      </c>
      <c r="B110" s="1" t="s">
        <v>16</v>
      </c>
      <c r="C110" s="1" t="s">
        <v>17</v>
      </c>
      <c r="D110" s="1">
        <v>1511.0</v>
      </c>
      <c r="E110" s="1">
        <v>1640.0</v>
      </c>
      <c r="F110" s="1">
        <f t="shared" si="2"/>
        <v>129</v>
      </c>
      <c r="G110" s="1">
        <f t="shared" si="3"/>
        <v>129</v>
      </c>
      <c r="H110" s="6">
        <f t="shared" si="4"/>
        <v>0.08537392455</v>
      </c>
      <c r="I110" s="6">
        <f t="shared" si="5"/>
        <v>0.9146260754</v>
      </c>
      <c r="J110" s="1">
        <f t="shared" si="6"/>
        <v>129</v>
      </c>
      <c r="K110" s="1" t="str">
        <f t="shared" si="7"/>
        <v>Over Forecast</v>
      </c>
      <c r="L110" s="1">
        <f>F110</f>
        <v>129</v>
      </c>
      <c r="M110" s="7">
        <f t="shared" si="10"/>
        <v>84.23853211</v>
      </c>
      <c r="N110" s="7">
        <f t="shared" si="8"/>
        <v>1.531365716</v>
      </c>
      <c r="O110" s="2" t="str">
        <f t="shared" si="9"/>
        <v>Acceptable</v>
      </c>
    </row>
    <row r="111" ht="15.75" customHeight="1">
      <c r="A111" s="1" t="s">
        <v>37</v>
      </c>
      <c r="B111" s="1" t="s">
        <v>16</v>
      </c>
      <c r="C111" s="1" t="s">
        <v>18</v>
      </c>
      <c r="D111" s="1">
        <v>1602.0</v>
      </c>
      <c r="E111" s="1">
        <v>1560.0</v>
      </c>
      <c r="F111" s="1">
        <f t="shared" si="2"/>
        <v>-42</v>
      </c>
      <c r="G111" s="1">
        <f t="shared" si="3"/>
        <v>42</v>
      </c>
      <c r="H111" s="6">
        <f t="shared" si="4"/>
        <v>0.02621722846</v>
      </c>
      <c r="I111" s="6">
        <f t="shared" si="5"/>
        <v>0.9737827715</v>
      </c>
      <c r="J111" s="1">
        <f t="shared" si="6"/>
        <v>-42</v>
      </c>
      <c r="K111" s="1" t="str">
        <f t="shared" si="7"/>
        <v>Under Forecast</v>
      </c>
      <c r="L111" s="1">
        <f>F111+J110</f>
        <v>87</v>
      </c>
      <c r="M111" s="7">
        <f t="shared" si="10"/>
        <v>83.85454545</v>
      </c>
      <c r="N111" s="7">
        <f t="shared" si="8"/>
        <v>1.037510841</v>
      </c>
      <c r="O111" s="2" t="str">
        <f t="shared" si="9"/>
        <v>Acceptable</v>
      </c>
    </row>
    <row r="112" ht="15.75" customHeight="1">
      <c r="A112" s="1" t="s">
        <v>37</v>
      </c>
      <c r="B112" s="1" t="s">
        <v>16</v>
      </c>
      <c r="C112" s="1" t="s">
        <v>19</v>
      </c>
      <c r="D112" s="1">
        <v>1813.0</v>
      </c>
      <c r="E112" s="1">
        <v>1809.0</v>
      </c>
      <c r="F112" s="1">
        <f t="shared" si="2"/>
        <v>-4</v>
      </c>
      <c r="G112" s="1">
        <f t="shared" si="3"/>
        <v>4</v>
      </c>
      <c r="H112" s="6">
        <f t="shared" si="4"/>
        <v>0.002206287921</v>
      </c>
      <c r="I112" s="6">
        <f t="shared" si="5"/>
        <v>0.9977937121</v>
      </c>
      <c r="J112" s="1">
        <f t="shared" si="6"/>
        <v>-4</v>
      </c>
      <c r="K112" s="1" t="str">
        <f t="shared" si="7"/>
        <v>Under Forecast</v>
      </c>
      <c r="L112" s="1">
        <f>F112</f>
        <v>-4</v>
      </c>
      <c r="M112" s="7">
        <f t="shared" si="10"/>
        <v>83.13513514</v>
      </c>
      <c r="N112" s="7">
        <f t="shared" si="8"/>
        <v>-0.04811443433</v>
      </c>
      <c r="O112" s="2" t="str">
        <f t="shared" si="9"/>
        <v>Acceptable</v>
      </c>
    </row>
    <row r="113" ht="15.75" customHeight="1">
      <c r="A113" s="1" t="s">
        <v>37</v>
      </c>
      <c r="B113" s="1" t="s">
        <v>16</v>
      </c>
      <c r="C113" s="1" t="s">
        <v>20</v>
      </c>
      <c r="D113" s="1">
        <v>1992.0</v>
      </c>
      <c r="E113" s="1">
        <v>2236.0</v>
      </c>
      <c r="F113" s="1">
        <f t="shared" si="2"/>
        <v>244</v>
      </c>
      <c r="G113" s="1">
        <f t="shared" si="3"/>
        <v>244</v>
      </c>
      <c r="H113" s="6">
        <f t="shared" si="4"/>
        <v>0.1224899598</v>
      </c>
      <c r="I113" s="6">
        <f t="shared" si="5"/>
        <v>0.8775100402</v>
      </c>
      <c r="J113" s="1">
        <f t="shared" si="6"/>
        <v>244</v>
      </c>
      <c r="K113" s="1" t="str">
        <f t="shared" si="7"/>
        <v>Over Forecast</v>
      </c>
      <c r="L113" s="1">
        <f>F113+J112</f>
        <v>240</v>
      </c>
      <c r="M113" s="7">
        <f t="shared" si="10"/>
        <v>84.57142857</v>
      </c>
      <c r="N113" s="7">
        <f t="shared" si="8"/>
        <v>2.837837838</v>
      </c>
      <c r="O113" s="2" t="str">
        <f t="shared" si="9"/>
        <v>Acceptable</v>
      </c>
    </row>
    <row r="114" ht="15.75" customHeight="1">
      <c r="A114" s="1" t="s">
        <v>37</v>
      </c>
      <c r="B114" s="1" t="s">
        <v>16</v>
      </c>
      <c r="C114" s="1" t="s">
        <v>21</v>
      </c>
      <c r="D114" s="1">
        <v>2059.0</v>
      </c>
      <c r="E114" s="1">
        <v>2119.0</v>
      </c>
      <c r="F114" s="1">
        <f t="shared" si="2"/>
        <v>60</v>
      </c>
      <c r="G114" s="1">
        <f t="shared" si="3"/>
        <v>60</v>
      </c>
      <c r="H114" s="6">
        <f t="shared" si="4"/>
        <v>0.0291403594</v>
      </c>
      <c r="I114" s="6">
        <f t="shared" si="5"/>
        <v>0.9708596406</v>
      </c>
      <c r="J114" s="1">
        <f t="shared" si="6"/>
        <v>60</v>
      </c>
      <c r="K114" s="1" t="str">
        <f t="shared" si="7"/>
        <v>Over Forecast</v>
      </c>
      <c r="L114" s="1">
        <f>F114</f>
        <v>60</v>
      </c>
      <c r="M114" s="7">
        <f t="shared" si="10"/>
        <v>84.3539823</v>
      </c>
      <c r="N114" s="7">
        <f t="shared" si="8"/>
        <v>0.7112882921</v>
      </c>
      <c r="O114" s="2" t="str">
        <f t="shared" si="9"/>
        <v>Acceptable</v>
      </c>
    </row>
    <row r="115" ht="15.75" customHeight="1">
      <c r="A115" s="1" t="s">
        <v>37</v>
      </c>
      <c r="B115" s="1" t="s">
        <v>16</v>
      </c>
      <c r="C115" s="1" t="s">
        <v>22</v>
      </c>
      <c r="D115" s="1">
        <v>1766.0</v>
      </c>
      <c r="E115" s="1">
        <v>1975.0</v>
      </c>
      <c r="F115" s="1">
        <f t="shared" si="2"/>
        <v>209</v>
      </c>
      <c r="G115" s="1">
        <f t="shared" si="3"/>
        <v>209</v>
      </c>
      <c r="H115" s="6">
        <f t="shared" si="4"/>
        <v>0.1183465459</v>
      </c>
      <c r="I115" s="6">
        <f t="shared" si="5"/>
        <v>0.8816534541</v>
      </c>
      <c r="J115" s="1">
        <f t="shared" si="6"/>
        <v>209</v>
      </c>
      <c r="K115" s="1" t="str">
        <f t="shared" si="7"/>
        <v>Over Forecast</v>
      </c>
      <c r="L115" s="1">
        <f>F115+J114</f>
        <v>269</v>
      </c>
      <c r="M115" s="7">
        <f t="shared" si="10"/>
        <v>85.44736842</v>
      </c>
      <c r="N115" s="7">
        <f t="shared" si="8"/>
        <v>3.148136742</v>
      </c>
      <c r="O115" s="2" t="str">
        <f t="shared" si="9"/>
        <v>Acceptable</v>
      </c>
    </row>
    <row r="116" ht="15.75" customHeight="1">
      <c r="A116" s="1" t="s">
        <v>37</v>
      </c>
      <c r="B116" s="1" t="s">
        <v>16</v>
      </c>
      <c r="C116" s="1" t="s">
        <v>23</v>
      </c>
      <c r="D116" s="1">
        <v>1981.0</v>
      </c>
      <c r="E116" s="1">
        <v>2227.0</v>
      </c>
      <c r="F116" s="1">
        <f t="shared" si="2"/>
        <v>246</v>
      </c>
      <c r="G116" s="1">
        <f t="shared" si="3"/>
        <v>246</v>
      </c>
      <c r="H116" s="6">
        <f t="shared" si="4"/>
        <v>0.1241797072</v>
      </c>
      <c r="I116" s="6">
        <f t="shared" si="5"/>
        <v>0.8758202928</v>
      </c>
      <c r="J116" s="1">
        <f t="shared" si="6"/>
        <v>246</v>
      </c>
      <c r="K116" s="1" t="str">
        <f t="shared" si="7"/>
        <v>Over Forecast</v>
      </c>
      <c r="L116" s="1">
        <f>F116</f>
        <v>246</v>
      </c>
      <c r="M116" s="7">
        <f t="shared" si="10"/>
        <v>86.84347826</v>
      </c>
      <c r="N116" s="7">
        <f t="shared" si="8"/>
        <v>2.832682487</v>
      </c>
      <c r="O116" s="2" t="str">
        <f t="shared" si="9"/>
        <v>Acceptable</v>
      </c>
    </row>
    <row r="117" ht="15.75" customHeight="1">
      <c r="A117" s="1" t="s">
        <v>37</v>
      </c>
      <c r="B117" s="1" t="s">
        <v>16</v>
      </c>
      <c r="C117" s="1" t="s">
        <v>24</v>
      </c>
      <c r="D117" s="1">
        <v>2139.0</v>
      </c>
      <c r="E117" s="1">
        <v>2366.0</v>
      </c>
      <c r="F117" s="1">
        <f t="shared" si="2"/>
        <v>227</v>
      </c>
      <c r="G117" s="1">
        <f t="shared" si="3"/>
        <v>227</v>
      </c>
      <c r="H117" s="6">
        <f t="shared" si="4"/>
        <v>0.1061243572</v>
      </c>
      <c r="I117" s="6">
        <f t="shared" si="5"/>
        <v>0.8938756428</v>
      </c>
      <c r="J117" s="1">
        <f t="shared" si="6"/>
        <v>227</v>
      </c>
      <c r="K117" s="1" t="str">
        <f t="shared" si="7"/>
        <v>Over Forecast</v>
      </c>
      <c r="L117" s="1">
        <f>F117+J116</f>
        <v>473</v>
      </c>
      <c r="M117" s="7">
        <f t="shared" si="10"/>
        <v>88.05172414</v>
      </c>
      <c r="N117" s="7">
        <f t="shared" si="8"/>
        <v>5.371842569</v>
      </c>
      <c r="O117" s="2" t="str">
        <f t="shared" si="9"/>
        <v>Over Forecasting Problem</v>
      </c>
    </row>
    <row r="118" ht="15.75" customHeight="1">
      <c r="A118" s="1" t="s">
        <v>37</v>
      </c>
      <c r="B118" s="1" t="s">
        <v>16</v>
      </c>
      <c r="C118" s="1" t="s">
        <v>25</v>
      </c>
      <c r="D118" s="1">
        <v>1790.0</v>
      </c>
      <c r="E118" s="1">
        <v>1846.0</v>
      </c>
      <c r="F118" s="1">
        <f t="shared" si="2"/>
        <v>56</v>
      </c>
      <c r="G118" s="1">
        <f t="shared" si="3"/>
        <v>56</v>
      </c>
      <c r="H118" s="6">
        <f t="shared" si="4"/>
        <v>0.0312849162</v>
      </c>
      <c r="I118" s="6">
        <f t="shared" si="5"/>
        <v>0.9687150838</v>
      </c>
      <c r="J118" s="1">
        <f t="shared" si="6"/>
        <v>56</v>
      </c>
      <c r="K118" s="1" t="str">
        <f t="shared" si="7"/>
        <v>Over Forecast</v>
      </c>
      <c r="L118" s="1">
        <f>F118</f>
        <v>56</v>
      </c>
      <c r="M118" s="7">
        <f t="shared" si="10"/>
        <v>87.77777778</v>
      </c>
      <c r="N118" s="7">
        <f t="shared" si="8"/>
        <v>0.6379746835</v>
      </c>
      <c r="O118" s="2" t="str">
        <f t="shared" si="9"/>
        <v>Acceptable</v>
      </c>
    </row>
    <row r="119" ht="15.75" customHeight="1">
      <c r="A119" s="1" t="s">
        <v>37</v>
      </c>
      <c r="B119" s="1" t="s">
        <v>16</v>
      </c>
      <c r="C119" s="1" t="s">
        <v>26</v>
      </c>
      <c r="D119" s="1">
        <v>1977.0</v>
      </c>
      <c r="E119" s="1">
        <v>2017.0</v>
      </c>
      <c r="F119" s="1">
        <f t="shared" si="2"/>
        <v>40</v>
      </c>
      <c r="G119" s="1">
        <f t="shared" si="3"/>
        <v>40</v>
      </c>
      <c r="H119" s="6">
        <f t="shared" si="4"/>
        <v>0.02023267577</v>
      </c>
      <c r="I119" s="6">
        <f t="shared" si="5"/>
        <v>0.9797673242</v>
      </c>
      <c r="J119" s="1">
        <f t="shared" si="6"/>
        <v>40</v>
      </c>
      <c r="K119" s="1" t="str">
        <f t="shared" si="7"/>
        <v>Over Forecast</v>
      </c>
      <c r="L119" s="1">
        <f>F119+J118</f>
        <v>96</v>
      </c>
      <c r="M119" s="7">
        <f t="shared" si="10"/>
        <v>87.37288136</v>
      </c>
      <c r="N119" s="7">
        <f t="shared" si="8"/>
        <v>1.098739088</v>
      </c>
      <c r="O119" s="2" t="str">
        <f t="shared" si="9"/>
        <v>Acceptable</v>
      </c>
    </row>
    <row r="120" ht="15.75" customHeight="1">
      <c r="A120" s="1" t="s">
        <v>37</v>
      </c>
      <c r="B120" s="1" t="s">
        <v>16</v>
      </c>
      <c r="C120" s="1" t="s">
        <v>27</v>
      </c>
      <c r="D120" s="1">
        <v>1707.0</v>
      </c>
      <c r="E120" s="1">
        <v>1807.0</v>
      </c>
      <c r="F120" s="1">
        <f t="shared" si="2"/>
        <v>100</v>
      </c>
      <c r="G120" s="1">
        <f t="shared" si="3"/>
        <v>100</v>
      </c>
      <c r="H120" s="6">
        <f t="shared" si="4"/>
        <v>0.05858230814</v>
      </c>
      <c r="I120" s="6">
        <f t="shared" si="5"/>
        <v>0.9414176919</v>
      </c>
      <c r="J120" s="1">
        <f t="shared" si="6"/>
        <v>100</v>
      </c>
      <c r="K120" s="1" t="str">
        <f t="shared" si="7"/>
        <v>Over Forecast</v>
      </c>
      <c r="L120" s="1">
        <f>F120</f>
        <v>100</v>
      </c>
      <c r="M120" s="7">
        <f t="shared" si="10"/>
        <v>87.4789916</v>
      </c>
      <c r="N120" s="7">
        <f t="shared" si="8"/>
        <v>1.143131604</v>
      </c>
      <c r="O120" s="2" t="str">
        <f t="shared" si="9"/>
        <v>Acceptable</v>
      </c>
    </row>
    <row r="121" ht="15.75" customHeight="1">
      <c r="A121" s="1" t="s">
        <v>37</v>
      </c>
      <c r="B121" s="1" t="s">
        <v>16</v>
      </c>
      <c r="C121" s="1" t="s">
        <v>28</v>
      </c>
      <c r="D121" s="1">
        <v>1946.0</v>
      </c>
      <c r="E121" s="1">
        <v>2104.0</v>
      </c>
      <c r="F121" s="1">
        <f t="shared" si="2"/>
        <v>158</v>
      </c>
      <c r="G121" s="1">
        <f t="shared" si="3"/>
        <v>158</v>
      </c>
      <c r="H121" s="6">
        <f t="shared" si="4"/>
        <v>0.08119218911</v>
      </c>
      <c r="I121" s="6">
        <f t="shared" si="5"/>
        <v>0.9188078109</v>
      </c>
      <c r="J121" s="1">
        <f t="shared" si="6"/>
        <v>158</v>
      </c>
      <c r="K121" s="1" t="str">
        <f t="shared" si="7"/>
        <v>Over Forecast</v>
      </c>
      <c r="L121" s="1">
        <f>F121+J120</f>
        <v>258</v>
      </c>
      <c r="M121" s="7">
        <f t="shared" si="10"/>
        <v>88.06666667</v>
      </c>
      <c r="N121" s="7">
        <f t="shared" si="8"/>
        <v>2.929598789</v>
      </c>
      <c r="O121" s="2" t="str">
        <f t="shared" si="9"/>
        <v>Acceptable</v>
      </c>
    </row>
    <row r="122" ht="15.75" customHeight="1">
      <c r="A122" s="1" t="s">
        <v>38</v>
      </c>
      <c r="B122" s="1" t="s">
        <v>16</v>
      </c>
      <c r="C122" s="1" t="s">
        <v>17</v>
      </c>
      <c r="D122" s="1">
        <v>1434.0</v>
      </c>
      <c r="E122" s="1">
        <v>1589.0</v>
      </c>
      <c r="F122" s="1">
        <f t="shared" si="2"/>
        <v>155</v>
      </c>
      <c r="G122" s="1">
        <f t="shared" si="3"/>
        <v>155</v>
      </c>
      <c r="H122" s="6">
        <f t="shared" si="4"/>
        <v>0.1080892608</v>
      </c>
      <c r="I122" s="6">
        <f t="shared" si="5"/>
        <v>0.8919107392</v>
      </c>
      <c r="J122" s="1">
        <f t="shared" si="6"/>
        <v>155</v>
      </c>
      <c r="K122" s="1" t="str">
        <f t="shared" si="7"/>
        <v>Over Forecast</v>
      </c>
      <c r="L122" s="1">
        <f>F122</f>
        <v>155</v>
      </c>
      <c r="M122" s="7">
        <f t="shared" si="10"/>
        <v>88.61983471</v>
      </c>
      <c r="N122" s="7">
        <f t="shared" si="8"/>
        <v>1.749044111</v>
      </c>
      <c r="O122" s="2" t="str">
        <f t="shared" si="9"/>
        <v>Acceptable</v>
      </c>
    </row>
    <row r="123" ht="15.75" customHeight="1">
      <c r="A123" s="1" t="s">
        <v>38</v>
      </c>
      <c r="B123" s="1" t="s">
        <v>16</v>
      </c>
      <c r="C123" s="1" t="s">
        <v>18</v>
      </c>
      <c r="D123" s="1">
        <v>1334.0</v>
      </c>
      <c r="E123" s="1">
        <v>1377.0</v>
      </c>
      <c r="F123" s="1">
        <f t="shared" si="2"/>
        <v>43</v>
      </c>
      <c r="G123" s="1">
        <f t="shared" si="3"/>
        <v>43</v>
      </c>
      <c r="H123" s="6">
        <f t="shared" si="4"/>
        <v>0.03223388306</v>
      </c>
      <c r="I123" s="6">
        <f t="shared" si="5"/>
        <v>0.9677661169</v>
      </c>
      <c r="J123" s="1">
        <f t="shared" si="6"/>
        <v>43</v>
      </c>
      <c r="K123" s="1" t="str">
        <f t="shared" si="7"/>
        <v>Over Forecast</v>
      </c>
      <c r="L123" s="1">
        <f>F123+J122</f>
        <v>198</v>
      </c>
      <c r="M123" s="7">
        <f t="shared" si="10"/>
        <v>88.24590164</v>
      </c>
      <c r="N123" s="7">
        <f t="shared" si="8"/>
        <v>2.243730262</v>
      </c>
      <c r="O123" s="2" t="str">
        <f t="shared" si="9"/>
        <v>Acceptable</v>
      </c>
    </row>
    <row r="124" ht="15.75" customHeight="1">
      <c r="A124" s="1" t="s">
        <v>38</v>
      </c>
      <c r="B124" s="1" t="s">
        <v>16</v>
      </c>
      <c r="C124" s="1" t="s">
        <v>19</v>
      </c>
      <c r="D124" s="1">
        <v>1599.0</v>
      </c>
      <c r="E124" s="1">
        <v>1708.0</v>
      </c>
      <c r="F124" s="1">
        <f t="shared" si="2"/>
        <v>109</v>
      </c>
      <c r="G124" s="1">
        <f t="shared" si="3"/>
        <v>109</v>
      </c>
      <c r="H124" s="6">
        <f t="shared" si="4"/>
        <v>0.06816760475</v>
      </c>
      <c r="I124" s="6">
        <f t="shared" si="5"/>
        <v>0.9318323952</v>
      </c>
      <c r="J124" s="1">
        <f t="shared" si="6"/>
        <v>109</v>
      </c>
      <c r="K124" s="1" t="str">
        <f t="shared" si="7"/>
        <v>Over Forecast</v>
      </c>
      <c r="L124" s="1">
        <f>F124</f>
        <v>109</v>
      </c>
      <c r="M124" s="7">
        <f t="shared" si="10"/>
        <v>88.41463415</v>
      </c>
      <c r="N124" s="7">
        <f t="shared" si="8"/>
        <v>1.232827586</v>
      </c>
      <c r="O124" s="2" t="str">
        <f t="shared" si="9"/>
        <v>Acceptable</v>
      </c>
    </row>
    <row r="125" ht="15.75" customHeight="1">
      <c r="A125" s="1" t="s">
        <v>38</v>
      </c>
      <c r="B125" s="1" t="s">
        <v>16</v>
      </c>
      <c r="C125" s="1" t="s">
        <v>20</v>
      </c>
      <c r="D125" s="1">
        <v>1581.0</v>
      </c>
      <c r="E125" s="1">
        <v>1679.0</v>
      </c>
      <c r="F125" s="1">
        <f t="shared" si="2"/>
        <v>98</v>
      </c>
      <c r="G125" s="1">
        <f t="shared" si="3"/>
        <v>98</v>
      </c>
      <c r="H125" s="6">
        <f t="shared" si="4"/>
        <v>0.06198608476</v>
      </c>
      <c r="I125" s="6">
        <f t="shared" si="5"/>
        <v>0.9380139152</v>
      </c>
      <c r="J125" s="1">
        <f t="shared" si="6"/>
        <v>98</v>
      </c>
      <c r="K125" s="1" t="str">
        <f t="shared" si="7"/>
        <v>Over Forecast</v>
      </c>
      <c r="L125" s="1">
        <f>F125+J124</f>
        <v>207</v>
      </c>
      <c r="M125" s="7">
        <f t="shared" si="10"/>
        <v>88.49193548</v>
      </c>
      <c r="N125" s="7">
        <f t="shared" si="8"/>
        <v>2.339196209</v>
      </c>
      <c r="O125" s="2" t="str">
        <f t="shared" si="9"/>
        <v>Acceptable</v>
      </c>
    </row>
    <row r="126" ht="15.75" customHeight="1">
      <c r="A126" s="1" t="s">
        <v>38</v>
      </c>
      <c r="B126" s="1" t="s">
        <v>16</v>
      </c>
      <c r="C126" s="1" t="s">
        <v>21</v>
      </c>
      <c r="D126" s="1">
        <v>1511.0</v>
      </c>
      <c r="E126" s="1">
        <v>1506.0</v>
      </c>
      <c r="F126" s="1">
        <f t="shared" si="2"/>
        <v>-5</v>
      </c>
      <c r="G126" s="1">
        <f t="shared" si="3"/>
        <v>5</v>
      </c>
      <c r="H126" s="6">
        <f t="shared" si="4"/>
        <v>0.003309066843</v>
      </c>
      <c r="I126" s="6">
        <f t="shared" si="5"/>
        <v>0.9966909332</v>
      </c>
      <c r="J126" s="1">
        <f t="shared" si="6"/>
        <v>-5</v>
      </c>
      <c r="K126" s="1" t="str">
        <f t="shared" si="7"/>
        <v>Under Forecast</v>
      </c>
      <c r="L126" s="1">
        <f>F126</f>
        <v>-5</v>
      </c>
      <c r="M126" s="7">
        <f t="shared" si="10"/>
        <v>87.824</v>
      </c>
      <c r="N126" s="7">
        <f t="shared" si="8"/>
        <v>-0.05693204591</v>
      </c>
      <c r="O126" s="2" t="str">
        <f t="shared" si="9"/>
        <v>Acceptable</v>
      </c>
    </row>
    <row r="127" ht="15.75" customHeight="1">
      <c r="A127" s="1" t="s">
        <v>38</v>
      </c>
      <c r="B127" s="1" t="s">
        <v>16</v>
      </c>
      <c r="C127" s="1" t="s">
        <v>22</v>
      </c>
      <c r="D127" s="1">
        <v>1671.0</v>
      </c>
      <c r="E127" s="1">
        <v>1804.0</v>
      </c>
      <c r="F127" s="1">
        <f t="shared" si="2"/>
        <v>133</v>
      </c>
      <c r="G127" s="1">
        <f t="shared" si="3"/>
        <v>133</v>
      </c>
      <c r="H127" s="6">
        <f t="shared" si="4"/>
        <v>0.07959305805</v>
      </c>
      <c r="I127" s="6">
        <f t="shared" si="5"/>
        <v>0.920406942</v>
      </c>
      <c r="J127" s="1">
        <f t="shared" si="6"/>
        <v>133</v>
      </c>
      <c r="K127" s="1" t="str">
        <f t="shared" si="7"/>
        <v>Over Forecast</v>
      </c>
      <c r="L127" s="1">
        <f>F127+J126</f>
        <v>128</v>
      </c>
      <c r="M127" s="7">
        <f t="shared" si="10"/>
        <v>88.18253968</v>
      </c>
      <c r="N127" s="7">
        <f t="shared" si="8"/>
        <v>1.451534515</v>
      </c>
      <c r="O127" s="2" t="str">
        <f t="shared" si="9"/>
        <v>Acceptable</v>
      </c>
    </row>
    <row r="128" ht="15.75" customHeight="1">
      <c r="A128" s="1" t="s">
        <v>38</v>
      </c>
      <c r="B128" s="1" t="s">
        <v>16</v>
      </c>
      <c r="C128" s="1" t="s">
        <v>23</v>
      </c>
      <c r="D128" s="1">
        <v>1710.0</v>
      </c>
      <c r="E128" s="1">
        <v>1874.0</v>
      </c>
      <c r="F128" s="1">
        <f t="shared" si="2"/>
        <v>164</v>
      </c>
      <c r="G128" s="1">
        <f t="shared" si="3"/>
        <v>164</v>
      </c>
      <c r="H128" s="6">
        <f t="shared" si="4"/>
        <v>0.09590643275</v>
      </c>
      <c r="I128" s="6">
        <f t="shared" si="5"/>
        <v>0.9040935673</v>
      </c>
      <c r="J128" s="1">
        <f t="shared" si="6"/>
        <v>164</v>
      </c>
      <c r="K128" s="1" t="str">
        <f t="shared" si="7"/>
        <v>Over Forecast</v>
      </c>
      <c r="L128" s="1">
        <f>F128</f>
        <v>164</v>
      </c>
      <c r="M128" s="7">
        <f t="shared" si="10"/>
        <v>88.77952756</v>
      </c>
      <c r="N128" s="7">
        <f t="shared" si="8"/>
        <v>1.847272727</v>
      </c>
      <c r="O128" s="2" t="str">
        <f t="shared" si="9"/>
        <v>Acceptable</v>
      </c>
    </row>
    <row r="129" ht="15.75" customHeight="1">
      <c r="A129" s="1" t="s">
        <v>38</v>
      </c>
      <c r="B129" s="1" t="s">
        <v>16</v>
      </c>
      <c r="C129" s="1" t="s">
        <v>24</v>
      </c>
      <c r="D129" s="1">
        <v>1530.0</v>
      </c>
      <c r="E129" s="1">
        <v>1576.0</v>
      </c>
      <c r="F129" s="1">
        <f t="shared" si="2"/>
        <v>46</v>
      </c>
      <c r="G129" s="1">
        <f t="shared" si="3"/>
        <v>46</v>
      </c>
      <c r="H129" s="6">
        <f t="shared" si="4"/>
        <v>0.03006535948</v>
      </c>
      <c r="I129" s="6">
        <f t="shared" si="5"/>
        <v>0.9699346405</v>
      </c>
      <c r="J129" s="1">
        <f t="shared" si="6"/>
        <v>46</v>
      </c>
      <c r="K129" s="1" t="str">
        <f t="shared" si="7"/>
        <v>Over Forecast</v>
      </c>
      <c r="L129" s="1">
        <f>F129+J128</f>
        <v>210</v>
      </c>
      <c r="M129" s="7">
        <f t="shared" si="10"/>
        <v>88.4453125</v>
      </c>
      <c r="N129" s="7">
        <f t="shared" si="8"/>
        <v>2.374348556</v>
      </c>
      <c r="O129" s="2" t="str">
        <f t="shared" si="9"/>
        <v>Acceptable</v>
      </c>
    </row>
    <row r="130" ht="15.75" customHeight="1">
      <c r="A130" s="1" t="s">
        <v>38</v>
      </c>
      <c r="B130" s="1" t="s">
        <v>16</v>
      </c>
      <c r="C130" s="1" t="s">
        <v>25</v>
      </c>
      <c r="D130" s="1">
        <v>1518.0</v>
      </c>
      <c r="E130" s="1">
        <v>1599.0</v>
      </c>
      <c r="F130" s="1">
        <f t="shared" si="2"/>
        <v>81</v>
      </c>
      <c r="G130" s="1">
        <f t="shared" si="3"/>
        <v>81</v>
      </c>
      <c r="H130" s="6">
        <f t="shared" si="4"/>
        <v>0.05335968379</v>
      </c>
      <c r="I130" s="6">
        <f t="shared" si="5"/>
        <v>0.9466403162</v>
      </c>
      <c r="J130" s="1">
        <f t="shared" si="6"/>
        <v>81</v>
      </c>
      <c r="K130" s="1" t="str">
        <f t="shared" si="7"/>
        <v>Over Forecast</v>
      </c>
      <c r="L130" s="1">
        <f>F130</f>
        <v>81</v>
      </c>
      <c r="M130" s="7">
        <f t="shared" si="10"/>
        <v>88.3875969</v>
      </c>
      <c r="N130" s="7">
        <f t="shared" si="8"/>
        <v>0.9164181723</v>
      </c>
      <c r="O130" s="2" t="str">
        <f t="shared" si="9"/>
        <v>Acceptable</v>
      </c>
    </row>
    <row r="131" ht="15.75" customHeight="1">
      <c r="A131" s="1" t="s">
        <v>38</v>
      </c>
      <c r="B131" s="1" t="s">
        <v>16</v>
      </c>
      <c r="C131" s="1" t="s">
        <v>26</v>
      </c>
      <c r="D131" s="1">
        <v>1453.0</v>
      </c>
      <c r="E131" s="1">
        <v>1565.0</v>
      </c>
      <c r="F131" s="1">
        <f t="shared" si="2"/>
        <v>112</v>
      </c>
      <c r="G131" s="1">
        <f t="shared" si="3"/>
        <v>112</v>
      </c>
      <c r="H131" s="6">
        <f t="shared" si="4"/>
        <v>0.07708189952</v>
      </c>
      <c r="I131" s="6">
        <f t="shared" si="5"/>
        <v>0.9229181005</v>
      </c>
      <c r="J131" s="1">
        <f t="shared" si="6"/>
        <v>112</v>
      </c>
      <c r="K131" s="1" t="str">
        <f t="shared" si="7"/>
        <v>Over Forecast</v>
      </c>
      <c r="L131" s="1">
        <f>F131+J130</f>
        <v>193</v>
      </c>
      <c r="M131" s="7">
        <f t="shared" si="10"/>
        <v>88.56923077</v>
      </c>
      <c r="N131" s="7">
        <f t="shared" si="8"/>
        <v>2.17908633</v>
      </c>
      <c r="O131" s="2" t="str">
        <f t="shared" si="9"/>
        <v>Acceptable</v>
      </c>
    </row>
    <row r="132" ht="15.75" customHeight="1">
      <c r="A132" s="1" t="s">
        <v>38</v>
      </c>
      <c r="B132" s="1" t="s">
        <v>16</v>
      </c>
      <c r="C132" s="1" t="s">
        <v>27</v>
      </c>
      <c r="D132" s="1">
        <v>1466.0</v>
      </c>
      <c r="E132" s="1">
        <v>1471.0</v>
      </c>
      <c r="F132" s="1">
        <f t="shared" si="2"/>
        <v>5</v>
      </c>
      <c r="G132" s="1">
        <f t="shared" si="3"/>
        <v>5</v>
      </c>
      <c r="H132" s="6">
        <f t="shared" si="4"/>
        <v>0.003410641201</v>
      </c>
      <c r="I132" s="6">
        <f t="shared" si="5"/>
        <v>0.9965893588</v>
      </c>
      <c r="J132" s="1">
        <f t="shared" si="6"/>
        <v>5</v>
      </c>
      <c r="K132" s="1" t="str">
        <f t="shared" si="7"/>
        <v>Over Forecast</v>
      </c>
      <c r="L132" s="1">
        <f>F132</f>
        <v>5</v>
      </c>
      <c r="M132" s="7">
        <f t="shared" si="10"/>
        <v>87.93129771</v>
      </c>
      <c r="N132" s="7">
        <f t="shared" si="8"/>
        <v>0.05686257488</v>
      </c>
      <c r="O132" s="2" t="str">
        <f t="shared" si="9"/>
        <v>Acceptable</v>
      </c>
    </row>
    <row r="133" ht="15.75" customHeight="1">
      <c r="A133" s="1" t="s">
        <v>38</v>
      </c>
      <c r="B133" s="1" t="s">
        <v>16</v>
      </c>
      <c r="C133" s="1" t="s">
        <v>28</v>
      </c>
      <c r="D133" s="1">
        <v>1278.0</v>
      </c>
      <c r="E133" s="1">
        <v>1233.0</v>
      </c>
      <c r="F133" s="1">
        <f t="shared" si="2"/>
        <v>-45</v>
      </c>
      <c r="G133" s="1">
        <f t="shared" si="3"/>
        <v>45</v>
      </c>
      <c r="H133" s="6">
        <f t="shared" si="4"/>
        <v>0.03521126761</v>
      </c>
      <c r="I133" s="6">
        <f t="shared" si="5"/>
        <v>0.9647887324</v>
      </c>
      <c r="J133" s="1">
        <f t="shared" si="6"/>
        <v>-45</v>
      </c>
      <c r="K133" s="1" t="str">
        <f t="shared" si="7"/>
        <v>Under Forecast</v>
      </c>
      <c r="L133" s="1">
        <f>F133+J132</f>
        <v>-40</v>
      </c>
      <c r="M133" s="7">
        <f t="shared" si="10"/>
        <v>87.60606061</v>
      </c>
      <c r="N133" s="7">
        <f t="shared" si="8"/>
        <v>-0.4565894154</v>
      </c>
      <c r="O133" s="2" t="str">
        <f t="shared" si="9"/>
        <v>Acceptable</v>
      </c>
    </row>
    <row r="134" ht="15.75" customHeight="1">
      <c r="A134" s="1" t="s">
        <v>39</v>
      </c>
      <c r="B134" s="1" t="s">
        <v>16</v>
      </c>
      <c r="C134" s="1" t="s">
        <v>17</v>
      </c>
      <c r="D134" s="1">
        <v>1423.0</v>
      </c>
      <c r="E134" s="1">
        <v>1273.0</v>
      </c>
      <c r="F134" s="1">
        <f t="shared" si="2"/>
        <v>-150</v>
      </c>
      <c r="G134" s="1">
        <f t="shared" si="3"/>
        <v>150</v>
      </c>
      <c r="H134" s="6">
        <f t="shared" si="4"/>
        <v>0.1054111033</v>
      </c>
      <c r="I134" s="6">
        <f t="shared" si="5"/>
        <v>0.8945888967</v>
      </c>
      <c r="J134" s="1">
        <f t="shared" si="6"/>
        <v>-150</v>
      </c>
      <c r="K134" s="1" t="str">
        <f t="shared" si="7"/>
        <v>Under Forecast</v>
      </c>
      <c r="L134" s="1">
        <f>F134</f>
        <v>-150</v>
      </c>
      <c r="M134" s="7">
        <f t="shared" si="10"/>
        <v>88.07518797</v>
      </c>
      <c r="N134" s="7">
        <f t="shared" si="8"/>
        <v>-1.703090319</v>
      </c>
      <c r="O134" s="2" t="str">
        <f t="shared" si="9"/>
        <v>Acceptable</v>
      </c>
    </row>
    <row r="135" ht="15.75" customHeight="1">
      <c r="A135" s="1" t="s">
        <v>39</v>
      </c>
      <c r="B135" s="1" t="s">
        <v>16</v>
      </c>
      <c r="C135" s="1" t="s">
        <v>18</v>
      </c>
      <c r="D135" s="1">
        <v>1695.0</v>
      </c>
      <c r="E135" s="1">
        <v>1702.0</v>
      </c>
      <c r="F135" s="1">
        <f t="shared" si="2"/>
        <v>7</v>
      </c>
      <c r="G135" s="1">
        <f t="shared" si="3"/>
        <v>7</v>
      </c>
      <c r="H135" s="6">
        <f t="shared" si="4"/>
        <v>0.00412979351</v>
      </c>
      <c r="I135" s="6">
        <f t="shared" si="5"/>
        <v>0.9958702065</v>
      </c>
      <c r="J135" s="1">
        <f t="shared" si="6"/>
        <v>7</v>
      </c>
      <c r="K135" s="1" t="str">
        <f t="shared" si="7"/>
        <v>Over Forecast</v>
      </c>
      <c r="L135" s="1">
        <f>F135+J134</f>
        <v>-143</v>
      </c>
      <c r="M135" s="7">
        <f t="shared" si="10"/>
        <v>87.47014925</v>
      </c>
      <c r="N135" s="7">
        <f t="shared" si="8"/>
        <v>-1.634843443</v>
      </c>
      <c r="O135" s="2" t="str">
        <f t="shared" si="9"/>
        <v>Acceptable</v>
      </c>
    </row>
    <row r="136" ht="15.75" customHeight="1">
      <c r="A136" s="1" t="s">
        <v>39</v>
      </c>
      <c r="B136" s="1" t="s">
        <v>16</v>
      </c>
      <c r="C136" s="1" t="s">
        <v>19</v>
      </c>
      <c r="D136" s="1">
        <v>1754.0</v>
      </c>
      <c r="E136" s="1">
        <v>1596.0</v>
      </c>
      <c r="F136" s="1">
        <f t="shared" si="2"/>
        <v>-158</v>
      </c>
      <c r="G136" s="1">
        <f t="shared" si="3"/>
        <v>158</v>
      </c>
      <c r="H136" s="6">
        <f t="shared" si="4"/>
        <v>0.09007981756</v>
      </c>
      <c r="I136" s="6">
        <f t="shared" si="5"/>
        <v>0.9099201824</v>
      </c>
      <c r="J136" s="1">
        <f t="shared" si="6"/>
        <v>-158</v>
      </c>
      <c r="K136" s="1" t="str">
        <f t="shared" si="7"/>
        <v>Under Forecast</v>
      </c>
      <c r="L136" s="1">
        <f>F136</f>
        <v>-158</v>
      </c>
      <c r="M136" s="7">
        <f t="shared" si="10"/>
        <v>87.99259259</v>
      </c>
      <c r="N136" s="7">
        <f t="shared" si="8"/>
        <v>-1.795605691</v>
      </c>
      <c r="O136" s="2" t="str">
        <f t="shared" si="9"/>
        <v>Acceptable</v>
      </c>
    </row>
    <row r="137" ht="15.75" customHeight="1">
      <c r="A137" s="1" t="s">
        <v>39</v>
      </c>
      <c r="B137" s="1" t="s">
        <v>16</v>
      </c>
      <c r="C137" s="1" t="s">
        <v>20</v>
      </c>
      <c r="D137" s="1">
        <v>1555.0</v>
      </c>
      <c r="E137" s="1">
        <v>1428.0</v>
      </c>
      <c r="F137" s="1">
        <f t="shared" si="2"/>
        <v>-127</v>
      </c>
      <c r="G137" s="1">
        <f t="shared" si="3"/>
        <v>127</v>
      </c>
      <c r="H137" s="6">
        <f t="shared" si="4"/>
        <v>0.08167202572</v>
      </c>
      <c r="I137" s="6">
        <f t="shared" si="5"/>
        <v>0.9183279743</v>
      </c>
      <c r="J137" s="1">
        <f t="shared" si="6"/>
        <v>-127</v>
      </c>
      <c r="K137" s="1" t="str">
        <f t="shared" si="7"/>
        <v>Under Forecast</v>
      </c>
      <c r="L137" s="1">
        <f>F137+J136</f>
        <v>-285</v>
      </c>
      <c r="M137" s="7">
        <f t="shared" si="10"/>
        <v>88.27941176</v>
      </c>
      <c r="N137" s="7">
        <f t="shared" si="8"/>
        <v>-3.228385807</v>
      </c>
      <c r="O137" s="2" t="str">
        <f t="shared" si="9"/>
        <v>Acceptable</v>
      </c>
    </row>
    <row r="138" ht="15.75" customHeight="1">
      <c r="A138" s="1" t="s">
        <v>39</v>
      </c>
      <c r="B138" s="1" t="s">
        <v>16</v>
      </c>
      <c r="C138" s="1" t="s">
        <v>21</v>
      </c>
      <c r="D138" s="1">
        <v>1805.0</v>
      </c>
      <c r="E138" s="1">
        <v>1664.0</v>
      </c>
      <c r="F138" s="1">
        <f t="shared" si="2"/>
        <v>-141</v>
      </c>
      <c r="G138" s="1">
        <f t="shared" si="3"/>
        <v>141</v>
      </c>
      <c r="H138" s="6">
        <f t="shared" si="4"/>
        <v>0.07811634349</v>
      </c>
      <c r="I138" s="6">
        <f t="shared" si="5"/>
        <v>0.9218836565</v>
      </c>
      <c r="J138" s="1">
        <f t="shared" si="6"/>
        <v>-141</v>
      </c>
      <c r="K138" s="1" t="str">
        <f t="shared" si="7"/>
        <v>Under Forecast</v>
      </c>
      <c r="L138" s="1">
        <f>F138</f>
        <v>-141</v>
      </c>
      <c r="M138" s="7">
        <f t="shared" si="10"/>
        <v>88.66423358</v>
      </c>
      <c r="N138" s="7">
        <f t="shared" si="8"/>
        <v>-1.590269202</v>
      </c>
      <c r="O138" s="2" t="str">
        <f t="shared" si="9"/>
        <v>Acceptable</v>
      </c>
    </row>
    <row r="139" ht="15.75" customHeight="1">
      <c r="A139" s="1" t="s">
        <v>39</v>
      </c>
      <c r="B139" s="1" t="s">
        <v>16</v>
      </c>
      <c r="C139" s="1" t="s">
        <v>22</v>
      </c>
      <c r="D139" s="1">
        <v>1977.0</v>
      </c>
      <c r="E139" s="1">
        <v>1805.0</v>
      </c>
      <c r="F139" s="1">
        <f t="shared" si="2"/>
        <v>-172</v>
      </c>
      <c r="G139" s="1">
        <f t="shared" si="3"/>
        <v>172</v>
      </c>
      <c r="H139" s="6">
        <f t="shared" si="4"/>
        <v>0.08700050582</v>
      </c>
      <c r="I139" s="6">
        <f t="shared" si="5"/>
        <v>0.9129994942</v>
      </c>
      <c r="J139" s="1">
        <f t="shared" si="6"/>
        <v>-172</v>
      </c>
      <c r="K139" s="1" t="str">
        <f t="shared" si="7"/>
        <v>Under Forecast</v>
      </c>
      <c r="L139" s="1">
        <f>F139+J138</f>
        <v>-313</v>
      </c>
      <c r="M139" s="7">
        <f t="shared" si="10"/>
        <v>89.26811594</v>
      </c>
      <c r="N139" s="7">
        <f t="shared" si="8"/>
        <v>-3.506291095</v>
      </c>
      <c r="O139" s="2" t="str">
        <f t="shared" si="9"/>
        <v>Acceptable</v>
      </c>
    </row>
    <row r="140" ht="15.75" customHeight="1">
      <c r="A140" s="1" t="s">
        <v>39</v>
      </c>
      <c r="B140" s="1" t="s">
        <v>16</v>
      </c>
      <c r="C140" s="1" t="s">
        <v>23</v>
      </c>
      <c r="D140" s="1">
        <v>2100.0</v>
      </c>
      <c r="E140" s="1">
        <v>1980.0</v>
      </c>
      <c r="F140" s="1">
        <f t="shared" si="2"/>
        <v>-120</v>
      </c>
      <c r="G140" s="1">
        <f t="shared" si="3"/>
        <v>120</v>
      </c>
      <c r="H140" s="6">
        <f t="shared" si="4"/>
        <v>0.05714285714</v>
      </c>
      <c r="I140" s="6">
        <f t="shared" si="5"/>
        <v>0.9428571429</v>
      </c>
      <c r="J140" s="1">
        <f t="shared" si="6"/>
        <v>-120</v>
      </c>
      <c r="K140" s="1" t="str">
        <f t="shared" si="7"/>
        <v>Under Forecast</v>
      </c>
      <c r="L140" s="1">
        <f>F140</f>
        <v>-120</v>
      </c>
      <c r="M140" s="7">
        <f t="shared" si="10"/>
        <v>89.48920863</v>
      </c>
      <c r="N140" s="7">
        <f t="shared" si="8"/>
        <v>-1.340943806</v>
      </c>
      <c r="O140" s="2" t="str">
        <f t="shared" si="9"/>
        <v>Acceptable</v>
      </c>
    </row>
    <row r="141" ht="15.75" customHeight="1">
      <c r="A141" s="1" t="s">
        <v>39</v>
      </c>
      <c r="B141" s="1" t="s">
        <v>16</v>
      </c>
      <c r="C141" s="1" t="s">
        <v>24</v>
      </c>
      <c r="D141" s="1">
        <v>2013.0</v>
      </c>
      <c r="E141" s="1">
        <v>1813.0</v>
      </c>
      <c r="F141" s="1">
        <f t="shared" si="2"/>
        <v>-200</v>
      </c>
      <c r="G141" s="1">
        <f t="shared" si="3"/>
        <v>200</v>
      </c>
      <c r="H141" s="6">
        <f t="shared" si="4"/>
        <v>0.09935419771</v>
      </c>
      <c r="I141" s="6">
        <f t="shared" si="5"/>
        <v>0.9006458023</v>
      </c>
      <c r="J141" s="1">
        <f t="shared" si="6"/>
        <v>-200</v>
      </c>
      <c r="K141" s="1" t="str">
        <f t="shared" si="7"/>
        <v>Under Forecast</v>
      </c>
      <c r="L141" s="1">
        <f>F141+J140</f>
        <v>-320</v>
      </c>
      <c r="M141" s="7">
        <f t="shared" si="10"/>
        <v>90.27857143</v>
      </c>
      <c r="N141" s="7">
        <f t="shared" si="8"/>
        <v>-3.544584223</v>
      </c>
      <c r="O141" s="2" t="str">
        <f t="shared" si="9"/>
        <v>Acceptable</v>
      </c>
    </row>
    <row r="142" ht="15.75" customHeight="1">
      <c r="A142" s="1" t="s">
        <v>39</v>
      </c>
      <c r="B142" s="1" t="s">
        <v>16</v>
      </c>
      <c r="C142" s="1" t="s">
        <v>25</v>
      </c>
      <c r="D142" s="1">
        <v>1777.0</v>
      </c>
      <c r="E142" s="1">
        <v>1744.0</v>
      </c>
      <c r="F142" s="1">
        <f t="shared" si="2"/>
        <v>-33</v>
      </c>
      <c r="G142" s="1">
        <f t="shared" si="3"/>
        <v>33</v>
      </c>
      <c r="H142" s="6">
        <f t="shared" si="4"/>
        <v>0.01857062465</v>
      </c>
      <c r="I142" s="6">
        <f t="shared" si="5"/>
        <v>0.9814293754</v>
      </c>
      <c r="J142" s="1">
        <f t="shared" si="6"/>
        <v>-33</v>
      </c>
      <c r="K142" s="1" t="str">
        <f t="shared" si="7"/>
        <v>Under Forecast</v>
      </c>
      <c r="L142" s="1">
        <f>F142</f>
        <v>-33</v>
      </c>
      <c r="M142" s="7">
        <f t="shared" si="10"/>
        <v>89.87234043</v>
      </c>
      <c r="N142" s="7">
        <f t="shared" si="8"/>
        <v>-0.3671875</v>
      </c>
      <c r="O142" s="2" t="str">
        <f t="shared" si="9"/>
        <v>Acceptable</v>
      </c>
    </row>
    <row r="143" ht="15.75" customHeight="1">
      <c r="A143" s="1" t="s">
        <v>39</v>
      </c>
      <c r="B143" s="1" t="s">
        <v>16</v>
      </c>
      <c r="C143" s="1" t="s">
        <v>26</v>
      </c>
      <c r="D143" s="1">
        <v>1673.0</v>
      </c>
      <c r="E143" s="1">
        <v>1491.0</v>
      </c>
      <c r="F143" s="1">
        <f t="shared" si="2"/>
        <v>-182</v>
      </c>
      <c r="G143" s="1">
        <f t="shared" si="3"/>
        <v>182</v>
      </c>
      <c r="H143" s="6">
        <f t="shared" si="4"/>
        <v>0.1087866109</v>
      </c>
      <c r="I143" s="6">
        <f t="shared" si="5"/>
        <v>0.8912133891</v>
      </c>
      <c r="J143" s="1">
        <f t="shared" si="6"/>
        <v>-182</v>
      </c>
      <c r="K143" s="1" t="str">
        <f t="shared" si="7"/>
        <v>Under Forecast</v>
      </c>
      <c r="L143" s="1">
        <f>F143+J142</f>
        <v>-215</v>
      </c>
      <c r="M143" s="7">
        <f t="shared" si="10"/>
        <v>90.52112676</v>
      </c>
      <c r="N143" s="7">
        <f t="shared" si="8"/>
        <v>-2.375136144</v>
      </c>
      <c r="O143" s="2" t="str">
        <f t="shared" si="9"/>
        <v>Acceptable</v>
      </c>
    </row>
    <row r="144" ht="15.75" customHeight="1">
      <c r="A144" s="1" t="s">
        <v>39</v>
      </c>
      <c r="B144" s="1" t="s">
        <v>16</v>
      </c>
      <c r="C144" s="1" t="s">
        <v>27</v>
      </c>
      <c r="D144" s="1">
        <v>1966.0</v>
      </c>
      <c r="E144" s="1">
        <v>1935.0</v>
      </c>
      <c r="F144" s="1">
        <f t="shared" si="2"/>
        <v>-31</v>
      </c>
      <c r="G144" s="1">
        <f t="shared" si="3"/>
        <v>31</v>
      </c>
      <c r="H144" s="6">
        <f t="shared" si="4"/>
        <v>0.01576805697</v>
      </c>
      <c r="I144" s="6">
        <f t="shared" si="5"/>
        <v>0.984231943</v>
      </c>
      <c r="J144" s="1">
        <f t="shared" si="6"/>
        <v>-31</v>
      </c>
      <c r="K144" s="1" t="str">
        <f t="shared" si="7"/>
        <v>Under Forecast</v>
      </c>
      <c r="L144" s="1">
        <f>F144</f>
        <v>-31</v>
      </c>
      <c r="M144" s="7">
        <f t="shared" si="10"/>
        <v>90.1048951</v>
      </c>
      <c r="N144" s="7">
        <f t="shared" si="8"/>
        <v>-0.3440434614</v>
      </c>
      <c r="O144" s="2" t="str">
        <f t="shared" si="9"/>
        <v>Acceptable</v>
      </c>
    </row>
    <row r="145" ht="15.75" customHeight="1">
      <c r="A145" s="1" t="s">
        <v>39</v>
      </c>
      <c r="B145" s="1" t="s">
        <v>16</v>
      </c>
      <c r="C145" s="1" t="s">
        <v>28</v>
      </c>
      <c r="D145" s="1">
        <v>1609.0</v>
      </c>
      <c r="E145" s="1">
        <v>1502.0</v>
      </c>
      <c r="F145" s="1">
        <f t="shared" si="2"/>
        <v>-107</v>
      </c>
      <c r="G145" s="1">
        <f t="shared" si="3"/>
        <v>107</v>
      </c>
      <c r="H145" s="6">
        <f t="shared" si="4"/>
        <v>0.06650093226</v>
      </c>
      <c r="I145" s="6">
        <f t="shared" si="5"/>
        <v>0.9334990677</v>
      </c>
      <c r="J145" s="1">
        <f t="shared" si="6"/>
        <v>-107</v>
      </c>
      <c r="K145" s="1" t="str">
        <f t="shared" si="7"/>
        <v>Under Forecast</v>
      </c>
      <c r="L145" s="1">
        <f>F145+J144</f>
        <v>-138</v>
      </c>
      <c r="M145" s="7">
        <f t="shared" si="10"/>
        <v>90.22222222</v>
      </c>
      <c r="N145" s="7">
        <f t="shared" si="8"/>
        <v>-1.52955665</v>
      </c>
      <c r="O145" s="2" t="str">
        <f t="shared" si="9"/>
        <v>Acceptable</v>
      </c>
    </row>
    <row r="146" ht="15.75" customHeight="1">
      <c r="A146" s="1" t="s">
        <v>40</v>
      </c>
      <c r="B146" s="1" t="s">
        <v>16</v>
      </c>
      <c r="C146" s="1" t="s">
        <v>17</v>
      </c>
      <c r="D146" s="1">
        <v>1606.0</v>
      </c>
      <c r="E146" s="1">
        <v>1644.0</v>
      </c>
      <c r="F146" s="1">
        <f t="shared" si="2"/>
        <v>38</v>
      </c>
      <c r="G146" s="1">
        <f t="shared" si="3"/>
        <v>38</v>
      </c>
      <c r="H146" s="6">
        <f t="shared" si="4"/>
        <v>0.02366127024</v>
      </c>
      <c r="I146" s="6">
        <f t="shared" si="5"/>
        <v>0.9763387298</v>
      </c>
      <c r="J146" s="1">
        <f t="shared" si="6"/>
        <v>38</v>
      </c>
      <c r="K146" s="1" t="str">
        <f t="shared" si="7"/>
        <v>Over Forecast</v>
      </c>
      <c r="L146" s="1">
        <f>F146</f>
        <v>38</v>
      </c>
      <c r="M146" s="7">
        <f t="shared" si="10"/>
        <v>89.86206897</v>
      </c>
      <c r="N146" s="7">
        <f t="shared" si="8"/>
        <v>0.4228702993</v>
      </c>
      <c r="O146" s="2" t="str">
        <f t="shared" si="9"/>
        <v>Acceptable</v>
      </c>
    </row>
    <row r="147" ht="15.75" customHeight="1">
      <c r="A147" s="1" t="s">
        <v>40</v>
      </c>
      <c r="B147" s="1" t="s">
        <v>16</v>
      </c>
      <c r="C147" s="1" t="s">
        <v>18</v>
      </c>
      <c r="D147" s="1">
        <v>1940.0</v>
      </c>
      <c r="E147" s="1">
        <v>1903.0</v>
      </c>
      <c r="F147" s="1">
        <f t="shared" si="2"/>
        <v>-37</v>
      </c>
      <c r="G147" s="1">
        <f t="shared" si="3"/>
        <v>37</v>
      </c>
      <c r="H147" s="6">
        <f t="shared" si="4"/>
        <v>0.01907216495</v>
      </c>
      <c r="I147" s="6">
        <f t="shared" si="5"/>
        <v>0.9809278351</v>
      </c>
      <c r="J147" s="1">
        <f t="shared" si="6"/>
        <v>-37</v>
      </c>
      <c r="K147" s="1" t="str">
        <f t="shared" si="7"/>
        <v>Under Forecast</v>
      </c>
      <c r="L147" s="1">
        <f>F147+J146</f>
        <v>1</v>
      </c>
      <c r="M147" s="7">
        <f t="shared" si="10"/>
        <v>89.5</v>
      </c>
      <c r="N147" s="7">
        <f t="shared" si="8"/>
        <v>0.01117318436</v>
      </c>
      <c r="O147" s="2" t="str">
        <f t="shared" si="9"/>
        <v>Acceptable</v>
      </c>
    </row>
    <row r="148" ht="15.75" customHeight="1">
      <c r="A148" s="1" t="s">
        <v>40</v>
      </c>
      <c r="B148" s="1" t="s">
        <v>16</v>
      </c>
      <c r="C148" s="1" t="s">
        <v>19</v>
      </c>
      <c r="D148" s="1">
        <v>1845.0</v>
      </c>
      <c r="E148" s="1">
        <v>1656.0</v>
      </c>
      <c r="F148" s="1">
        <f t="shared" si="2"/>
        <v>-189</v>
      </c>
      <c r="G148" s="1">
        <f t="shared" si="3"/>
        <v>189</v>
      </c>
      <c r="H148" s="6">
        <f t="shared" si="4"/>
        <v>0.1024390244</v>
      </c>
      <c r="I148" s="6">
        <f t="shared" si="5"/>
        <v>0.8975609756</v>
      </c>
      <c r="J148" s="1">
        <f t="shared" si="6"/>
        <v>-189</v>
      </c>
      <c r="K148" s="1" t="str">
        <f t="shared" si="7"/>
        <v>Under Forecast</v>
      </c>
      <c r="L148" s="1">
        <f>F148</f>
        <v>-189</v>
      </c>
      <c r="M148" s="7">
        <f t="shared" si="10"/>
        <v>90.17687075</v>
      </c>
      <c r="N148" s="7">
        <f t="shared" si="8"/>
        <v>-2.09588111</v>
      </c>
      <c r="O148" s="2" t="str">
        <f t="shared" si="9"/>
        <v>Acceptable</v>
      </c>
    </row>
    <row r="149" ht="15.75" customHeight="1">
      <c r="A149" s="1" t="s">
        <v>40</v>
      </c>
      <c r="B149" s="1" t="s">
        <v>16</v>
      </c>
      <c r="C149" s="1" t="s">
        <v>20</v>
      </c>
      <c r="D149" s="1">
        <v>1789.0</v>
      </c>
      <c r="E149" s="1">
        <v>1628.0</v>
      </c>
      <c r="F149" s="1">
        <f t="shared" si="2"/>
        <v>-161</v>
      </c>
      <c r="G149" s="1">
        <f t="shared" si="3"/>
        <v>161</v>
      </c>
      <c r="H149" s="6">
        <f t="shared" si="4"/>
        <v>0.08999441029</v>
      </c>
      <c r="I149" s="6">
        <f t="shared" si="5"/>
        <v>0.9100055897</v>
      </c>
      <c r="J149" s="1">
        <f t="shared" si="6"/>
        <v>-161</v>
      </c>
      <c r="K149" s="1" t="str">
        <f t="shared" si="7"/>
        <v>Under Forecast</v>
      </c>
      <c r="L149" s="1">
        <f>F149+J148</f>
        <v>-350</v>
      </c>
      <c r="M149" s="7">
        <f t="shared" si="10"/>
        <v>90.65540541</v>
      </c>
      <c r="N149" s="7">
        <f t="shared" si="8"/>
        <v>-3.860773645</v>
      </c>
      <c r="O149" s="2" t="str">
        <f t="shared" si="9"/>
        <v>Acceptable</v>
      </c>
    </row>
    <row r="150" ht="15.75" customHeight="1">
      <c r="A150" s="1" t="s">
        <v>40</v>
      </c>
      <c r="B150" s="1" t="s">
        <v>16</v>
      </c>
      <c r="C150" s="1" t="s">
        <v>21</v>
      </c>
      <c r="D150" s="1">
        <v>1982.0</v>
      </c>
      <c r="E150" s="1">
        <v>1950.0</v>
      </c>
      <c r="F150" s="1">
        <f t="shared" si="2"/>
        <v>-32</v>
      </c>
      <c r="G150" s="1">
        <f t="shared" si="3"/>
        <v>32</v>
      </c>
      <c r="H150" s="6">
        <f t="shared" si="4"/>
        <v>0.01614530777</v>
      </c>
      <c r="I150" s="6">
        <f t="shared" si="5"/>
        <v>0.9838546922</v>
      </c>
      <c r="J150" s="1">
        <f t="shared" si="6"/>
        <v>-32</v>
      </c>
      <c r="K150" s="1" t="str">
        <f t="shared" si="7"/>
        <v>Under Forecast</v>
      </c>
      <c r="L150" s="1">
        <f>F150</f>
        <v>-32</v>
      </c>
      <c r="M150" s="7">
        <f t="shared" si="10"/>
        <v>90.26174497</v>
      </c>
      <c r="N150" s="7">
        <f t="shared" si="8"/>
        <v>-0.3545245</v>
      </c>
      <c r="O150" s="2" t="str">
        <f t="shared" si="9"/>
        <v>Acceptable</v>
      </c>
    </row>
    <row r="151" ht="15.75" customHeight="1">
      <c r="A151" s="1" t="s">
        <v>40</v>
      </c>
      <c r="B151" s="1" t="s">
        <v>16</v>
      </c>
      <c r="C151" s="1" t="s">
        <v>22</v>
      </c>
      <c r="D151" s="1">
        <v>2048.0</v>
      </c>
      <c r="E151" s="1">
        <v>1873.0</v>
      </c>
      <c r="F151" s="1">
        <f t="shared" si="2"/>
        <v>-175</v>
      </c>
      <c r="G151" s="1">
        <f t="shared" si="3"/>
        <v>175</v>
      </c>
      <c r="H151" s="6">
        <f t="shared" si="4"/>
        <v>0.08544921875</v>
      </c>
      <c r="I151" s="6">
        <f t="shared" si="5"/>
        <v>0.9145507813</v>
      </c>
      <c r="J151" s="1">
        <f t="shared" si="6"/>
        <v>-175</v>
      </c>
      <c r="K151" s="1" t="str">
        <f t="shared" si="7"/>
        <v>Under Forecast</v>
      </c>
      <c r="L151" s="1">
        <f>F151+J150</f>
        <v>-207</v>
      </c>
      <c r="M151" s="7">
        <f t="shared" si="10"/>
        <v>90.82666667</v>
      </c>
      <c r="N151" s="7">
        <f t="shared" si="8"/>
        <v>-2.279066353</v>
      </c>
      <c r="O151" s="2" t="str">
        <f t="shared" si="9"/>
        <v>Acceptable</v>
      </c>
    </row>
    <row r="152" ht="15.75" customHeight="1">
      <c r="A152" s="1" t="s">
        <v>40</v>
      </c>
      <c r="B152" s="1" t="s">
        <v>16</v>
      </c>
      <c r="C152" s="1" t="s">
        <v>23</v>
      </c>
      <c r="D152" s="1">
        <v>2190.0</v>
      </c>
      <c r="E152" s="1">
        <v>2163.0</v>
      </c>
      <c r="F152" s="1">
        <f t="shared" si="2"/>
        <v>-27</v>
      </c>
      <c r="G152" s="1">
        <f t="shared" si="3"/>
        <v>27</v>
      </c>
      <c r="H152" s="6">
        <f t="shared" si="4"/>
        <v>0.01232876712</v>
      </c>
      <c r="I152" s="6">
        <f t="shared" si="5"/>
        <v>0.9876712329</v>
      </c>
      <c r="J152" s="1">
        <f t="shared" si="6"/>
        <v>-27</v>
      </c>
      <c r="K152" s="1" t="str">
        <f t="shared" si="7"/>
        <v>Under Forecast</v>
      </c>
      <c r="L152" s="1">
        <f>F152</f>
        <v>-27</v>
      </c>
      <c r="M152" s="7">
        <f t="shared" si="10"/>
        <v>90.40397351</v>
      </c>
      <c r="N152" s="7">
        <f t="shared" si="8"/>
        <v>-0.2986594389</v>
      </c>
      <c r="O152" s="2" t="str">
        <f t="shared" si="9"/>
        <v>Acceptable</v>
      </c>
    </row>
    <row r="153" ht="15.75" customHeight="1">
      <c r="A153" s="1" t="s">
        <v>40</v>
      </c>
      <c r="B153" s="1" t="s">
        <v>16</v>
      </c>
      <c r="C153" s="1" t="s">
        <v>24</v>
      </c>
      <c r="D153" s="1">
        <v>1943.0</v>
      </c>
      <c r="E153" s="1">
        <v>1880.0</v>
      </c>
      <c r="F153" s="1">
        <f t="shared" si="2"/>
        <v>-63</v>
      </c>
      <c r="G153" s="1">
        <f t="shared" si="3"/>
        <v>63</v>
      </c>
      <c r="H153" s="6">
        <f t="shared" si="4"/>
        <v>0.03242408646</v>
      </c>
      <c r="I153" s="6">
        <f t="shared" si="5"/>
        <v>0.9675759135</v>
      </c>
      <c r="J153" s="1">
        <f t="shared" si="6"/>
        <v>-63</v>
      </c>
      <c r="K153" s="1" t="str">
        <f t="shared" si="7"/>
        <v>Under Forecast</v>
      </c>
      <c r="L153" s="1">
        <f>F153+J152</f>
        <v>-90</v>
      </c>
      <c r="M153" s="7">
        <f t="shared" si="10"/>
        <v>90.22368421</v>
      </c>
      <c r="N153" s="7">
        <f t="shared" si="8"/>
        <v>-0.9975207817</v>
      </c>
      <c r="O153" s="2" t="str">
        <f t="shared" si="9"/>
        <v>Acceptable</v>
      </c>
    </row>
    <row r="154" ht="15.75" customHeight="1">
      <c r="A154" s="1" t="s">
        <v>40</v>
      </c>
      <c r="B154" s="1" t="s">
        <v>16</v>
      </c>
      <c r="C154" s="1" t="s">
        <v>25</v>
      </c>
      <c r="D154" s="1">
        <v>1774.0</v>
      </c>
      <c r="E154" s="1">
        <v>1613.0</v>
      </c>
      <c r="F154" s="1">
        <f t="shared" si="2"/>
        <v>-161</v>
      </c>
      <c r="G154" s="1">
        <f t="shared" si="3"/>
        <v>161</v>
      </c>
      <c r="H154" s="6">
        <f t="shared" si="4"/>
        <v>0.09075535513</v>
      </c>
      <c r="I154" s="6">
        <f t="shared" si="5"/>
        <v>0.9092446449</v>
      </c>
      <c r="J154" s="1">
        <f t="shared" si="6"/>
        <v>-161</v>
      </c>
      <c r="K154" s="1" t="str">
        <f t="shared" si="7"/>
        <v>Under Forecast</v>
      </c>
      <c r="L154" s="1">
        <f>F154</f>
        <v>-161</v>
      </c>
      <c r="M154" s="7">
        <f t="shared" si="10"/>
        <v>90.68627451</v>
      </c>
      <c r="N154" s="7">
        <f t="shared" si="8"/>
        <v>-1.775351351</v>
      </c>
      <c r="O154" s="2" t="str">
        <f t="shared" si="9"/>
        <v>Acceptable</v>
      </c>
    </row>
    <row r="155" ht="15.75" customHeight="1">
      <c r="A155" s="1" t="s">
        <v>40</v>
      </c>
      <c r="B155" s="1" t="s">
        <v>16</v>
      </c>
      <c r="C155" s="1" t="s">
        <v>26</v>
      </c>
      <c r="D155" s="1">
        <v>1705.0</v>
      </c>
      <c r="E155" s="1">
        <v>1690.0</v>
      </c>
      <c r="F155" s="1">
        <f t="shared" si="2"/>
        <v>-15</v>
      </c>
      <c r="G155" s="1">
        <f t="shared" si="3"/>
        <v>15</v>
      </c>
      <c r="H155" s="6">
        <f t="shared" si="4"/>
        <v>0.008797653959</v>
      </c>
      <c r="I155" s="6">
        <f t="shared" si="5"/>
        <v>0.991202346</v>
      </c>
      <c r="J155" s="1">
        <f t="shared" si="6"/>
        <v>-15</v>
      </c>
      <c r="K155" s="1" t="str">
        <f t="shared" si="7"/>
        <v>Under Forecast</v>
      </c>
      <c r="L155" s="1">
        <f>F155+J154</f>
        <v>-176</v>
      </c>
      <c r="M155" s="7">
        <f t="shared" si="10"/>
        <v>90.19480519</v>
      </c>
      <c r="N155" s="7">
        <f t="shared" si="8"/>
        <v>-1.951331893</v>
      </c>
      <c r="O155" s="2" t="str">
        <f t="shared" si="9"/>
        <v>Acceptable</v>
      </c>
    </row>
    <row r="156" ht="15.75" customHeight="1">
      <c r="A156" s="1" t="s">
        <v>40</v>
      </c>
      <c r="B156" s="1" t="s">
        <v>16</v>
      </c>
      <c r="C156" s="1" t="s">
        <v>27</v>
      </c>
      <c r="D156" s="1">
        <v>1542.0</v>
      </c>
      <c r="E156" s="1">
        <v>1370.0</v>
      </c>
      <c r="F156" s="1">
        <f t="shared" si="2"/>
        <v>-172</v>
      </c>
      <c r="G156" s="1">
        <f t="shared" si="3"/>
        <v>172</v>
      </c>
      <c r="H156" s="6">
        <f t="shared" si="4"/>
        <v>0.1115434501</v>
      </c>
      <c r="I156" s="6">
        <f t="shared" si="5"/>
        <v>0.8884565499</v>
      </c>
      <c r="J156" s="1">
        <f t="shared" si="6"/>
        <v>-172</v>
      </c>
      <c r="K156" s="1" t="str">
        <f t="shared" si="7"/>
        <v>Under Forecast</v>
      </c>
      <c r="L156" s="1">
        <f>F156</f>
        <v>-172</v>
      </c>
      <c r="M156" s="7">
        <f t="shared" si="10"/>
        <v>90.72258065</v>
      </c>
      <c r="N156" s="7">
        <f t="shared" si="8"/>
        <v>-1.895889632</v>
      </c>
      <c r="O156" s="2" t="str">
        <f t="shared" si="9"/>
        <v>Acceptable</v>
      </c>
    </row>
    <row r="157" ht="15.75" customHeight="1">
      <c r="A157" s="1" t="s">
        <v>40</v>
      </c>
      <c r="B157" s="1" t="s">
        <v>16</v>
      </c>
      <c r="C157" s="1" t="s">
        <v>28</v>
      </c>
      <c r="D157" s="1">
        <v>1495.0</v>
      </c>
      <c r="E157" s="1">
        <v>1310.0</v>
      </c>
      <c r="F157" s="1">
        <f t="shared" si="2"/>
        <v>-185</v>
      </c>
      <c r="G157" s="1">
        <f t="shared" si="3"/>
        <v>185</v>
      </c>
      <c r="H157" s="6">
        <f t="shared" si="4"/>
        <v>0.1237458194</v>
      </c>
      <c r="I157" s="6">
        <f t="shared" si="5"/>
        <v>0.8762541806</v>
      </c>
      <c r="J157" s="1">
        <f t="shared" si="6"/>
        <v>-185</v>
      </c>
      <c r="K157" s="1" t="str">
        <f t="shared" si="7"/>
        <v>Under Forecast</v>
      </c>
      <c r="L157" s="1">
        <f>F157+J156</f>
        <v>-357</v>
      </c>
      <c r="M157" s="7">
        <f t="shared" si="10"/>
        <v>91.32692308</v>
      </c>
      <c r="N157" s="7">
        <f t="shared" si="8"/>
        <v>-3.909033481</v>
      </c>
      <c r="O157" s="2" t="str">
        <f t="shared" si="9"/>
        <v>Acceptable</v>
      </c>
    </row>
    <row r="158" ht="15.75" customHeight="1">
      <c r="A158" s="1" t="s">
        <v>41</v>
      </c>
      <c r="B158" s="1" t="s">
        <v>16</v>
      </c>
      <c r="C158" s="1" t="s">
        <v>17</v>
      </c>
      <c r="D158" s="1">
        <v>1690.0</v>
      </c>
      <c r="E158" s="1">
        <v>1496.0</v>
      </c>
      <c r="F158" s="1">
        <f t="shared" si="2"/>
        <v>-194</v>
      </c>
      <c r="G158" s="1">
        <f t="shared" si="3"/>
        <v>194</v>
      </c>
      <c r="H158" s="6">
        <f t="shared" si="4"/>
        <v>0.1147928994</v>
      </c>
      <c r="I158" s="6">
        <f t="shared" si="5"/>
        <v>0.8852071006</v>
      </c>
      <c r="J158" s="1">
        <f t="shared" si="6"/>
        <v>-194</v>
      </c>
      <c r="K158" s="1" t="str">
        <f t="shared" si="7"/>
        <v>Under Forecast</v>
      </c>
      <c r="L158" s="1">
        <f>F158</f>
        <v>-194</v>
      </c>
      <c r="M158" s="7">
        <f t="shared" si="10"/>
        <v>91.98089172</v>
      </c>
      <c r="N158" s="7">
        <f t="shared" si="8"/>
        <v>-2.109133717</v>
      </c>
      <c r="O158" s="2" t="str">
        <f t="shared" si="9"/>
        <v>Acceptable</v>
      </c>
    </row>
    <row r="159" ht="15.75" customHeight="1">
      <c r="A159" s="1" t="s">
        <v>41</v>
      </c>
      <c r="B159" s="1" t="s">
        <v>16</v>
      </c>
      <c r="C159" s="1" t="s">
        <v>18</v>
      </c>
      <c r="D159" s="1">
        <v>1781.0</v>
      </c>
      <c r="E159" s="1">
        <v>1684.0</v>
      </c>
      <c r="F159" s="1">
        <f t="shared" si="2"/>
        <v>-97</v>
      </c>
      <c r="G159" s="1">
        <f t="shared" si="3"/>
        <v>97</v>
      </c>
      <c r="H159" s="6">
        <f t="shared" si="4"/>
        <v>0.05446378439</v>
      </c>
      <c r="I159" s="6">
        <f t="shared" si="5"/>
        <v>0.9455362156</v>
      </c>
      <c r="J159" s="1">
        <f t="shared" si="6"/>
        <v>-97</v>
      </c>
      <c r="K159" s="1" t="str">
        <f t="shared" si="7"/>
        <v>Under Forecast</v>
      </c>
      <c r="L159" s="1">
        <f>F159+J158</f>
        <v>-291</v>
      </c>
      <c r="M159" s="7">
        <f t="shared" si="10"/>
        <v>92.01265823</v>
      </c>
      <c r="N159" s="7">
        <f t="shared" si="8"/>
        <v>-3.162608337</v>
      </c>
      <c r="O159" s="2" t="str">
        <f t="shared" si="9"/>
        <v>Acceptable</v>
      </c>
    </row>
    <row r="160" ht="15.75" customHeight="1">
      <c r="A160" s="1" t="s">
        <v>41</v>
      </c>
      <c r="B160" s="1" t="s">
        <v>16</v>
      </c>
      <c r="C160" s="1" t="s">
        <v>19</v>
      </c>
      <c r="D160" s="1">
        <v>1767.0</v>
      </c>
      <c r="E160" s="1">
        <v>1659.0</v>
      </c>
      <c r="F160" s="1">
        <f t="shared" si="2"/>
        <v>-108</v>
      </c>
      <c r="G160" s="1">
        <f t="shared" si="3"/>
        <v>108</v>
      </c>
      <c r="H160" s="6">
        <f t="shared" si="4"/>
        <v>0.06112054329</v>
      </c>
      <c r="I160" s="6">
        <f t="shared" si="5"/>
        <v>0.9388794567</v>
      </c>
      <c r="J160" s="1">
        <f t="shared" si="6"/>
        <v>-108</v>
      </c>
      <c r="K160" s="1" t="str">
        <f t="shared" si="7"/>
        <v>Under Forecast</v>
      </c>
      <c r="L160" s="1">
        <f>F160</f>
        <v>-108</v>
      </c>
      <c r="M160" s="7">
        <f t="shared" si="10"/>
        <v>92.11320755</v>
      </c>
      <c r="N160" s="7">
        <f t="shared" si="8"/>
        <v>-1.172470299</v>
      </c>
      <c r="O160" s="2" t="str">
        <f t="shared" si="9"/>
        <v>Acceptable</v>
      </c>
    </row>
    <row r="161" ht="15.75" customHeight="1">
      <c r="A161" s="1" t="s">
        <v>41</v>
      </c>
      <c r="B161" s="1" t="s">
        <v>16</v>
      </c>
      <c r="C161" s="1" t="s">
        <v>20</v>
      </c>
      <c r="D161" s="1">
        <v>1942.0</v>
      </c>
      <c r="E161" s="1">
        <v>1880.0</v>
      </c>
      <c r="F161" s="1">
        <f t="shared" si="2"/>
        <v>-62</v>
      </c>
      <c r="G161" s="1">
        <f t="shared" si="3"/>
        <v>62</v>
      </c>
      <c r="H161" s="6">
        <f t="shared" si="4"/>
        <v>0.03192584964</v>
      </c>
      <c r="I161" s="6">
        <f t="shared" si="5"/>
        <v>0.9680741504</v>
      </c>
      <c r="J161" s="1">
        <f t="shared" si="6"/>
        <v>-62</v>
      </c>
      <c r="K161" s="1" t="str">
        <f t="shared" si="7"/>
        <v>Under Forecast</v>
      </c>
      <c r="L161" s="1">
        <f>F161+J160</f>
        <v>-170</v>
      </c>
      <c r="M161" s="7">
        <f t="shared" si="10"/>
        <v>91.925</v>
      </c>
      <c r="N161" s="7">
        <f t="shared" si="8"/>
        <v>-1.849333696</v>
      </c>
      <c r="O161" s="2" t="str">
        <f t="shared" si="9"/>
        <v>Acceptable</v>
      </c>
    </row>
    <row r="162" ht="15.75" customHeight="1">
      <c r="A162" s="1" t="s">
        <v>41</v>
      </c>
      <c r="B162" s="1" t="s">
        <v>16</v>
      </c>
      <c r="C162" s="1" t="s">
        <v>21</v>
      </c>
      <c r="D162" s="1">
        <v>2132.0</v>
      </c>
      <c r="E162" s="1">
        <v>1870.0</v>
      </c>
      <c r="F162" s="1">
        <f t="shared" si="2"/>
        <v>-262</v>
      </c>
      <c r="G162" s="1">
        <f t="shared" si="3"/>
        <v>262</v>
      </c>
      <c r="H162" s="6">
        <f t="shared" si="4"/>
        <v>0.1228893058</v>
      </c>
      <c r="I162" s="6">
        <f t="shared" si="5"/>
        <v>0.8771106942</v>
      </c>
      <c r="J162" s="1">
        <f t="shared" si="6"/>
        <v>-262</v>
      </c>
      <c r="K162" s="1" t="str">
        <f t="shared" si="7"/>
        <v>Under Forecast</v>
      </c>
      <c r="L162" s="1">
        <f>F162</f>
        <v>-262</v>
      </c>
      <c r="M162" s="7">
        <f t="shared" si="10"/>
        <v>92.98136646</v>
      </c>
      <c r="N162" s="7">
        <f t="shared" si="8"/>
        <v>-2.817768871</v>
      </c>
      <c r="O162" s="2" t="str">
        <f t="shared" si="9"/>
        <v>Acceptable</v>
      </c>
    </row>
    <row r="163" ht="15.75" customHeight="1">
      <c r="A163" s="1" t="s">
        <v>41</v>
      </c>
      <c r="B163" s="1" t="s">
        <v>16</v>
      </c>
      <c r="C163" s="1" t="s">
        <v>22</v>
      </c>
      <c r="D163" s="1">
        <v>2098.0</v>
      </c>
      <c r="E163" s="1">
        <v>2035.0</v>
      </c>
      <c r="F163" s="1">
        <f t="shared" si="2"/>
        <v>-63</v>
      </c>
      <c r="G163" s="1">
        <f t="shared" si="3"/>
        <v>63</v>
      </c>
      <c r="H163" s="6">
        <f t="shared" si="4"/>
        <v>0.03002859867</v>
      </c>
      <c r="I163" s="6">
        <f t="shared" si="5"/>
        <v>0.9699714013</v>
      </c>
      <c r="J163" s="1">
        <f t="shared" si="6"/>
        <v>-63</v>
      </c>
      <c r="K163" s="1" t="str">
        <f t="shared" si="7"/>
        <v>Under Forecast</v>
      </c>
      <c r="L163" s="1">
        <f>F163+J162</f>
        <v>-325</v>
      </c>
      <c r="M163" s="7">
        <f t="shared" si="10"/>
        <v>92.7962963</v>
      </c>
      <c r="N163" s="7">
        <f t="shared" si="8"/>
        <v>-3.502294951</v>
      </c>
      <c r="O163" s="2" t="str">
        <f t="shared" si="9"/>
        <v>Acceptable</v>
      </c>
    </row>
    <row r="164" ht="15.75" customHeight="1">
      <c r="A164" s="1" t="s">
        <v>41</v>
      </c>
      <c r="B164" s="1" t="s">
        <v>16</v>
      </c>
      <c r="C164" s="1" t="s">
        <v>23</v>
      </c>
      <c r="D164" s="1">
        <v>2233.0</v>
      </c>
      <c r="E164" s="1">
        <v>2248.0</v>
      </c>
      <c r="F164" s="1">
        <f t="shared" si="2"/>
        <v>15</v>
      </c>
      <c r="G164" s="1">
        <f t="shared" si="3"/>
        <v>15</v>
      </c>
      <c r="H164" s="6">
        <f t="shared" si="4"/>
        <v>0.006717420511</v>
      </c>
      <c r="I164" s="6">
        <f t="shared" si="5"/>
        <v>0.9932825795</v>
      </c>
      <c r="J164" s="1">
        <f t="shared" si="6"/>
        <v>15</v>
      </c>
      <c r="K164" s="1" t="str">
        <f t="shared" si="7"/>
        <v>Over Forecast</v>
      </c>
      <c r="L164" s="1">
        <f>F164</f>
        <v>15</v>
      </c>
      <c r="M164" s="7">
        <f t="shared" si="10"/>
        <v>92.3190184</v>
      </c>
      <c r="N164" s="7">
        <f t="shared" si="8"/>
        <v>0.1624800638</v>
      </c>
      <c r="O164" s="2" t="str">
        <f t="shared" si="9"/>
        <v>Acceptable</v>
      </c>
    </row>
    <row r="165" ht="15.75" customHeight="1">
      <c r="A165" s="1" t="s">
        <v>41</v>
      </c>
      <c r="B165" s="1" t="s">
        <v>16</v>
      </c>
      <c r="C165" s="1" t="s">
        <v>24</v>
      </c>
      <c r="D165" s="1">
        <v>2260.0</v>
      </c>
      <c r="E165" s="1">
        <v>2025.0</v>
      </c>
      <c r="F165" s="1">
        <f t="shared" si="2"/>
        <v>-235</v>
      </c>
      <c r="G165" s="1">
        <f t="shared" si="3"/>
        <v>235</v>
      </c>
      <c r="H165" s="6">
        <f t="shared" si="4"/>
        <v>0.1039823009</v>
      </c>
      <c r="I165" s="6">
        <f t="shared" si="5"/>
        <v>0.8960176991</v>
      </c>
      <c r="J165" s="1">
        <f t="shared" si="6"/>
        <v>-235</v>
      </c>
      <c r="K165" s="1" t="str">
        <f t="shared" si="7"/>
        <v>Under Forecast</v>
      </c>
      <c r="L165" s="1">
        <f>F165+J164</f>
        <v>-220</v>
      </c>
      <c r="M165" s="7">
        <f t="shared" si="10"/>
        <v>93.18902439</v>
      </c>
      <c r="N165" s="7">
        <f t="shared" si="8"/>
        <v>-2.360793038</v>
      </c>
      <c r="O165" s="2" t="str">
        <f t="shared" si="9"/>
        <v>Acceptable</v>
      </c>
    </row>
    <row r="166" ht="15.75" customHeight="1">
      <c r="A166" s="1" t="s">
        <v>41</v>
      </c>
      <c r="B166" s="1" t="s">
        <v>16</v>
      </c>
      <c r="C166" s="1" t="s">
        <v>25</v>
      </c>
      <c r="D166" s="1">
        <v>1926.0</v>
      </c>
      <c r="E166" s="1">
        <v>1873.0</v>
      </c>
      <c r="F166" s="1">
        <f t="shared" si="2"/>
        <v>-53</v>
      </c>
      <c r="G166" s="1">
        <f t="shared" si="3"/>
        <v>53</v>
      </c>
      <c r="H166" s="6">
        <f t="shared" si="4"/>
        <v>0.02751817238</v>
      </c>
      <c r="I166" s="6">
        <f t="shared" si="5"/>
        <v>0.9724818276</v>
      </c>
      <c r="J166" s="1">
        <f t="shared" si="6"/>
        <v>-53</v>
      </c>
      <c r="K166" s="1" t="str">
        <f t="shared" si="7"/>
        <v>Under Forecast</v>
      </c>
      <c r="L166" s="1">
        <f>F166</f>
        <v>-53</v>
      </c>
      <c r="M166" s="7">
        <f t="shared" si="10"/>
        <v>92.94545455</v>
      </c>
      <c r="N166" s="7">
        <f t="shared" si="8"/>
        <v>-0.5702269171</v>
      </c>
      <c r="O166" s="2" t="str">
        <f t="shared" si="9"/>
        <v>Acceptable</v>
      </c>
    </row>
    <row r="167" ht="15.75" customHeight="1">
      <c r="A167" s="1" t="s">
        <v>41</v>
      </c>
      <c r="B167" s="1" t="s">
        <v>16</v>
      </c>
      <c r="C167" s="1" t="s">
        <v>26</v>
      </c>
      <c r="D167" s="1">
        <v>1904.0</v>
      </c>
      <c r="E167" s="1">
        <v>1834.0</v>
      </c>
      <c r="F167" s="1">
        <f t="shared" si="2"/>
        <v>-70</v>
      </c>
      <c r="G167" s="1">
        <f t="shared" si="3"/>
        <v>70</v>
      </c>
      <c r="H167" s="6">
        <f t="shared" si="4"/>
        <v>0.03676470588</v>
      </c>
      <c r="I167" s="6">
        <f t="shared" si="5"/>
        <v>0.9632352941</v>
      </c>
      <c r="J167" s="1">
        <f t="shared" si="6"/>
        <v>-70</v>
      </c>
      <c r="K167" s="1" t="str">
        <f t="shared" si="7"/>
        <v>Under Forecast</v>
      </c>
      <c r="L167" s="1">
        <f>F167+J166</f>
        <v>-123</v>
      </c>
      <c r="M167" s="7">
        <f t="shared" si="10"/>
        <v>92.80722892</v>
      </c>
      <c r="N167" s="7">
        <f t="shared" si="8"/>
        <v>-1.325327794</v>
      </c>
      <c r="O167" s="2" t="str">
        <f t="shared" si="9"/>
        <v>Acceptable</v>
      </c>
    </row>
    <row r="168" ht="15.75" customHeight="1">
      <c r="A168" s="1" t="s">
        <v>41</v>
      </c>
      <c r="B168" s="1" t="s">
        <v>16</v>
      </c>
      <c r="C168" s="1" t="s">
        <v>27</v>
      </c>
      <c r="D168" s="1">
        <v>2283.0</v>
      </c>
      <c r="E168" s="1">
        <v>2196.0</v>
      </c>
      <c r="F168" s="1">
        <f t="shared" si="2"/>
        <v>-87</v>
      </c>
      <c r="G168" s="1">
        <f t="shared" si="3"/>
        <v>87</v>
      </c>
      <c r="H168" s="6">
        <f t="shared" si="4"/>
        <v>0.03810775296</v>
      </c>
      <c r="I168" s="6">
        <f t="shared" si="5"/>
        <v>0.961892247</v>
      </c>
      <c r="J168" s="1">
        <f t="shared" si="6"/>
        <v>-87</v>
      </c>
      <c r="K168" s="1" t="str">
        <f t="shared" si="7"/>
        <v>Under Forecast</v>
      </c>
      <c r="L168" s="1">
        <f>F168</f>
        <v>-87</v>
      </c>
      <c r="M168" s="7">
        <f t="shared" si="10"/>
        <v>92.77245509</v>
      </c>
      <c r="N168" s="7">
        <f t="shared" si="8"/>
        <v>-0.9377783515</v>
      </c>
      <c r="O168" s="2" t="str">
        <f t="shared" si="9"/>
        <v>Acceptable</v>
      </c>
    </row>
    <row r="169" ht="15.75" customHeight="1">
      <c r="A169" s="1" t="s">
        <v>41</v>
      </c>
      <c r="B169" s="1" t="s">
        <v>16</v>
      </c>
      <c r="C169" s="1" t="s">
        <v>28</v>
      </c>
      <c r="D169" s="1">
        <v>2024.0</v>
      </c>
      <c r="E169" s="1">
        <v>1969.0</v>
      </c>
      <c r="F169" s="1">
        <f t="shared" si="2"/>
        <v>-55</v>
      </c>
      <c r="G169" s="1">
        <f t="shared" si="3"/>
        <v>55</v>
      </c>
      <c r="H169" s="6">
        <f t="shared" si="4"/>
        <v>0.02717391304</v>
      </c>
      <c r="I169" s="6">
        <f t="shared" si="5"/>
        <v>0.972826087</v>
      </c>
      <c r="J169" s="1">
        <f t="shared" si="6"/>
        <v>-55</v>
      </c>
      <c r="K169" s="1" t="str">
        <f t="shared" si="7"/>
        <v>Under Forecast</v>
      </c>
      <c r="L169" s="1">
        <f>F169+J168</f>
        <v>-142</v>
      </c>
      <c r="M169" s="7">
        <f t="shared" si="10"/>
        <v>92.54761905</v>
      </c>
      <c r="N169" s="7">
        <f t="shared" si="8"/>
        <v>-1.534345253</v>
      </c>
      <c r="O169" s="2" t="str">
        <f t="shared" si="9"/>
        <v>Acceptable</v>
      </c>
    </row>
    <row r="170" ht="15.75" customHeight="1">
      <c r="A170" s="1" t="s">
        <v>42</v>
      </c>
      <c r="B170" s="1" t="s">
        <v>16</v>
      </c>
      <c r="C170" s="1" t="s">
        <v>17</v>
      </c>
      <c r="D170" s="1">
        <v>1836.0</v>
      </c>
      <c r="E170" s="1">
        <v>1747.0</v>
      </c>
      <c r="F170" s="1">
        <f t="shared" si="2"/>
        <v>-89</v>
      </c>
      <c r="G170" s="1">
        <f t="shared" si="3"/>
        <v>89</v>
      </c>
      <c r="H170" s="6">
        <f t="shared" si="4"/>
        <v>0.04847494553</v>
      </c>
      <c r="I170" s="6">
        <f t="shared" si="5"/>
        <v>0.9515250545</v>
      </c>
      <c r="J170" s="1">
        <f t="shared" si="6"/>
        <v>-89</v>
      </c>
      <c r="K170" s="1" t="str">
        <f t="shared" si="7"/>
        <v>Under Forecast</v>
      </c>
      <c r="L170" s="1">
        <f>F170</f>
        <v>-89</v>
      </c>
      <c r="M170" s="7">
        <f t="shared" si="10"/>
        <v>92.52662722</v>
      </c>
      <c r="N170" s="7">
        <f t="shared" si="8"/>
        <v>-0.9618852721</v>
      </c>
      <c r="O170" s="2" t="str">
        <f t="shared" si="9"/>
        <v>Acceptable</v>
      </c>
    </row>
    <row r="171" ht="15.75" customHeight="1">
      <c r="A171" s="1" t="s">
        <v>42</v>
      </c>
      <c r="B171" s="1" t="s">
        <v>16</v>
      </c>
      <c r="C171" s="1" t="s">
        <v>18</v>
      </c>
      <c r="D171" s="1">
        <v>1924.0</v>
      </c>
      <c r="E171" s="1">
        <v>1991.0</v>
      </c>
      <c r="F171" s="1">
        <f t="shared" si="2"/>
        <v>67</v>
      </c>
      <c r="G171" s="1">
        <f t="shared" si="3"/>
        <v>67</v>
      </c>
      <c r="H171" s="6">
        <f t="shared" si="4"/>
        <v>0.03482328482</v>
      </c>
      <c r="I171" s="6">
        <f t="shared" si="5"/>
        <v>0.9651767152</v>
      </c>
      <c r="J171" s="1">
        <f t="shared" si="6"/>
        <v>67</v>
      </c>
      <c r="K171" s="1" t="str">
        <f t="shared" si="7"/>
        <v>Over Forecast</v>
      </c>
      <c r="L171" s="1">
        <f>F171+J170</f>
        <v>-22</v>
      </c>
      <c r="M171" s="7">
        <f t="shared" si="10"/>
        <v>92.37647059</v>
      </c>
      <c r="N171" s="7">
        <f t="shared" si="8"/>
        <v>-0.2381558839</v>
      </c>
      <c r="O171" s="2" t="str">
        <f t="shared" si="9"/>
        <v>Acceptable</v>
      </c>
    </row>
    <row r="172" ht="15.75" customHeight="1">
      <c r="A172" s="1" t="s">
        <v>42</v>
      </c>
      <c r="B172" s="1" t="s">
        <v>16</v>
      </c>
      <c r="C172" s="1" t="s">
        <v>19</v>
      </c>
      <c r="D172" s="1">
        <v>1742.0</v>
      </c>
      <c r="E172" s="1">
        <v>1569.0</v>
      </c>
      <c r="F172" s="1">
        <f t="shared" si="2"/>
        <v>-173</v>
      </c>
      <c r="G172" s="1">
        <f t="shared" si="3"/>
        <v>173</v>
      </c>
      <c r="H172" s="6">
        <f t="shared" si="4"/>
        <v>0.09931113662</v>
      </c>
      <c r="I172" s="6">
        <f t="shared" si="5"/>
        <v>0.9006888634</v>
      </c>
      <c r="J172" s="1">
        <f t="shared" si="6"/>
        <v>-173</v>
      </c>
      <c r="K172" s="1" t="str">
        <f t="shared" si="7"/>
        <v>Under Forecast</v>
      </c>
      <c r="L172" s="1">
        <f>F172</f>
        <v>-173</v>
      </c>
      <c r="M172" s="7">
        <f t="shared" si="10"/>
        <v>92.84795322</v>
      </c>
      <c r="N172" s="7">
        <f t="shared" si="8"/>
        <v>-1.863261321</v>
      </c>
      <c r="O172" s="2" t="str">
        <f t="shared" si="9"/>
        <v>Acceptable</v>
      </c>
    </row>
    <row r="173" ht="15.75" customHeight="1">
      <c r="A173" s="1" t="s">
        <v>42</v>
      </c>
      <c r="B173" s="1" t="s">
        <v>16</v>
      </c>
      <c r="C173" s="1" t="s">
        <v>20</v>
      </c>
      <c r="D173" s="1">
        <v>1778.0</v>
      </c>
      <c r="E173" s="1">
        <v>1587.0</v>
      </c>
      <c r="F173" s="1">
        <f t="shared" si="2"/>
        <v>-191</v>
      </c>
      <c r="G173" s="1">
        <f t="shared" si="3"/>
        <v>191</v>
      </c>
      <c r="H173" s="6">
        <f t="shared" si="4"/>
        <v>0.107424072</v>
      </c>
      <c r="I173" s="6">
        <f t="shared" si="5"/>
        <v>0.892575928</v>
      </c>
      <c r="J173" s="1">
        <f t="shared" si="6"/>
        <v>-191</v>
      </c>
      <c r="K173" s="1" t="str">
        <f t="shared" si="7"/>
        <v>Under Forecast</v>
      </c>
      <c r="L173" s="1">
        <f>F173+J172</f>
        <v>-364</v>
      </c>
      <c r="M173" s="7">
        <f t="shared" si="10"/>
        <v>93.41860465</v>
      </c>
      <c r="N173" s="7">
        <f t="shared" si="8"/>
        <v>-3.896440129</v>
      </c>
      <c r="O173" s="2" t="str">
        <f t="shared" si="9"/>
        <v>Acceptable</v>
      </c>
    </row>
    <row r="174" ht="15.75" customHeight="1">
      <c r="A174" s="1" t="s">
        <v>42</v>
      </c>
      <c r="B174" s="1" t="s">
        <v>16</v>
      </c>
      <c r="C174" s="1" t="s">
        <v>21</v>
      </c>
      <c r="D174" s="1">
        <v>1848.0</v>
      </c>
      <c r="E174" s="1">
        <v>1846.0</v>
      </c>
      <c r="F174" s="1">
        <f t="shared" si="2"/>
        <v>-2</v>
      </c>
      <c r="G174" s="1">
        <f t="shared" si="3"/>
        <v>2</v>
      </c>
      <c r="H174" s="6">
        <f t="shared" si="4"/>
        <v>0.001082251082</v>
      </c>
      <c r="I174" s="6">
        <f t="shared" si="5"/>
        <v>0.9989177489</v>
      </c>
      <c r="J174" s="1">
        <f t="shared" si="6"/>
        <v>-2</v>
      </c>
      <c r="K174" s="1" t="str">
        <f t="shared" si="7"/>
        <v>Under Forecast</v>
      </c>
      <c r="L174" s="1">
        <f>F174</f>
        <v>-2</v>
      </c>
      <c r="M174" s="7">
        <f t="shared" si="10"/>
        <v>92.89017341</v>
      </c>
      <c r="N174" s="7">
        <f t="shared" si="8"/>
        <v>-0.02153080274</v>
      </c>
      <c r="O174" s="2" t="str">
        <f t="shared" si="9"/>
        <v>Acceptable</v>
      </c>
    </row>
    <row r="175" ht="15.75" customHeight="1">
      <c r="A175" s="1" t="s">
        <v>42</v>
      </c>
      <c r="B175" s="1" t="s">
        <v>16</v>
      </c>
      <c r="C175" s="1" t="s">
        <v>22</v>
      </c>
      <c r="D175" s="1">
        <v>1894.0</v>
      </c>
      <c r="E175" s="1">
        <v>1782.0</v>
      </c>
      <c r="F175" s="1">
        <f t="shared" si="2"/>
        <v>-112</v>
      </c>
      <c r="G175" s="1">
        <f t="shared" si="3"/>
        <v>112</v>
      </c>
      <c r="H175" s="6">
        <f t="shared" si="4"/>
        <v>0.05913410771</v>
      </c>
      <c r="I175" s="6">
        <f t="shared" si="5"/>
        <v>0.9408658923</v>
      </c>
      <c r="J175" s="1">
        <f t="shared" si="6"/>
        <v>-112</v>
      </c>
      <c r="K175" s="1" t="str">
        <f t="shared" si="7"/>
        <v>Under Forecast</v>
      </c>
      <c r="L175" s="1">
        <f>F175+J174</f>
        <v>-114</v>
      </c>
      <c r="M175" s="7">
        <f t="shared" si="10"/>
        <v>93</v>
      </c>
      <c r="N175" s="7">
        <f t="shared" si="8"/>
        <v>-1.225806452</v>
      </c>
      <c r="O175" s="2" t="str">
        <f t="shared" si="9"/>
        <v>Acceptable</v>
      </c>
    </row>
    <row r="176" ht="15.75" customHeight="1">
      <c r="A176" s="1" t="s">
        <v>42</v>
      </c>
      <c r="B176" s="1" t="s">
        <v>16</v>
      </c>
      <c r="C176" s="1" t="s">
        <v>23</v>
      </c>
      <c r="D176" s="1">
        <v>2282.0</v>
      </c>
      <c r="E176" s="1">
        <v>2039.0</v>
      </c>
      <c r="F176" s="1">
        <f t="shared" si="2"/>
        <v>-243</v>
      </c>
      <c r="G176" s="1">
        <f t="shared" si="3"/>
        <v>243</v>
      </c>
      <c r="H176" s="6">
        <f t="shared" si="4"/>
        <v>0.106485539</v>
      </c>
      <c r="I176" s="6">
        <f t="shared" si="5"/>
        <v>0.893514461</v>
      </c>
      <c r="J176" s="1">
        <f t="shared" si="6"/>
        <v>-243</v>
      </c>
      <c r="K176" s="1" t="str">
        <f t="shared" si="7"/>
        <v>Under Forecast</v>
      </c>
      <c r="L176" s="1">
        <f>F176</f>
        <v>-243</v>
      </c>
      <c r="M176" s="7">
        <f t="shared" si="10"/>
        <v>93.85714286</v>
      </c>
      <c r="N176" s="7">
        <f t="shared" si="8"/>
        <v>-2.589041096</v>
      </c>
      <c r="O176" s="2" t="str">
        <f t="shared" si="9"/>
        <v>Acceptable</v>
      </c>
    </row>
    <row r="177" ht="15.75" customHeight="1">
      <c r="A177" s="1" t="s">
        <v>42</v>
      </c>
      <c r="B177" s="1" t="s">
        <v>16</v>
      </c>
      <c r="C177" s="1" t="s">
        <v>24</v>
      </c>
      <c r="D177" s="1">
        <v>2214.0</v>
      </c>
      <c r="E177" s="1">
        <v>2070.0</v>
      </c>
      <c r="F177" s="1">
        <f t="shared" si="2"/>
        <v>-144</v>
      </c>
      <c r="G177" s="1">
        <f t="shared" si="3"/>
        <v>144</v>
      </c>
      <c r="H177" s="6">
        <f t="shared" si="4"/>
        <v>0.06504065041</v>
      </c>
      <c r="I177" s="6">
        <f t="shared" si="5"/>
        <v>0.9349593496</v>
      </c>
      <c r="J177" s="1">
        <f t="shared" si="6"/>
        <v>-144</v>
      </c>
      <c r="K177" s="1" t="str">
        <f t="shared" si="7"/>
        <v>Under Forecast</v>
      </c>
      <c r="L177" s="1">
        <f>F177+J176</f>
        <v>-387</v>
      </c>
      <c r="M177" s="7">
        <f t="shared" si="10"/>
        <v>94.14204545</v>
      </c>
      <c r="N177" s="7">
        <f t="shared" si="8"/>
        <v>-4.110809343</v>
      </c>
      <c r="O177" s="2" t="str">
        <f t="shared" si="9"/>
        <v>Under Forecasting Problem</v>
      </c>
    </row>
    <row r="178" ht="15.75" customHeight="1">
      <c r="A178" s="1" t="s">
        <v>42</v>
      </c>
      <c r="B178" s="1" t="s">
        <v>16</v>
      </c>
      <c r="C178" s="1" t="s">
        <v>25</v>
      </c>
      <c r="D178" s="1">
        <v>1838.0</v>
      </c>
      <c r="E178" s="1">
        <v>1840.0</v>
      </c>
      <c r="F178" s="1">
        <f t="shared" si="2"/>
        <v>2</v>
      </c>
      <c r="G178" s="1">
        <f t="shared" si="3"/>
        <v>2</v>
      </c>
      <c r="H178" s="6">
        <f t="shared" si="4"/>
        <v>0.001088139282</v>
      </c>
      <c r="I178" s="6">
        <f t="shared" si="5"/>
        <v>0.9989118607</v>
      </c>
      <c r="J178" s="1">
        <f t="shared" si="6"/>
        <v>2</v>
      </c>
      <c r="K178" s="1" t="str">
        <f t="shared" si="7"/>
        <v>Over Forecast</v>
      </c>
      <c r="L178" s="1">
        <f>F178</f>
        <v>2</v>
      </c>
      <c r="M178" s="7">
        <f t="shared" si="10"/>
        <v>93.62146893</v>
      </c>
      <c r="N178" s="7">
        <f t="shared" si="8"/>
        <v>0.02136262145</v>
      </c>
      <c r="O178" s="2" t="str">
        <f t="shared" si="9"/>
        <v>Acceptable</v>
      </c>
    </row>
    <row r="179" ht="15.75" customHeight="1">
      <c r="A179" s="1" t="s">
        <v>42</v>
      </c>
      <c r="B179" s="1" t="s">
        <v>16</v>
      </c>
      <c r="C179" s="1" t="s">
        <v>26</v>
      </c>
      <c r="D179" s="1">
        <v>2025.0</v>
      </c>
      <c r="E179" s="1">
        <v>2086.0</v>
      </c>
      <c r="F179" s="1">
        <f t="shared" si="2"/>
        <v>61</v>
      </c>
      <c r="G179" s="1">
        <f t="shared" si="3"/>
        <v>61</v>
      </c>
      <c r="H179" s="6">
        <f t="shared" si="4"/>
        <v>0.03012345679</v>
      </c>
      <c r="I179" s="6">
        <f t="shared" si="5"/>
        <v>0.9698765432</v>
      </c>
      <c r="J179" s="1">
        <f t="shared" si="6"/>
        <v>61</v>
      </c>
      <c r="K179" s="1" t="str">
        <f t="shared" si="7"/>
        <v>Over Forecast</v>
      </c>
      <c r="L179" s="1">
        <f>F179+J178</f>
        <v>63</v>
      </c>
      <c r="M179" s="7">
        <f t="shared" si="10"/>
        <v>93.43820225</v>
      </c>
      <c r="N179" s="7">
        <f t="shared" si="8"/>
        <v>0.6742424242</v>
      </c>
      <c r="O179" s="2" t="str">
        <f t="shared" si="9"/>
        <v>Acceptable</v>
      </c>
    </row>
    <row r="180" ht="15.75" customHeight="1">
      <c r="A180" s="1" t="s">
        <v>42</v>
      </c>
      <c r="B180" s="1" t="s">
        <v>16</v>
      </c>
      <c r="C180" s="1" t="s">
        <v>27</v>
      </c>
      <c r="D180" s="1">
        <v>2050.0</v>
      </c>
      <c r="E180" s="1">
        <v>2088.0</v>
      </c>
      <c r="F180" s="1">
        <f t="shared" si="2"/>
        <v>38</v>
      </c>
      <c r="G180" s="1">
        <f t="shared" si="3"/>
        <v>38</v>
      </c>
      <c r="H180" s="6">
        <f t="shared" si="4"/>
        <v>0.01853658537</v>
      </c>
      <c r="I180" s="6">
        <f t="shared" si="5"/>
        <v>0.9814634146</v>
      </c>
      <c r="J180" s="1">
        <f t="shared" si="6"/>
        <v>38</v>
      </c>
      <c r="K180" s="1" t="str">
        <f t="shared" si="7"/>
        <v>Over Forecast</v>
      </c>
      <c r="L180" s="1">
        <f>F180</f>
        <v>38</v>
      </c>
      <c r="M180" s="7">
        <f t="shared" si="10"/>
        <v>93.12849162</v>
      </c>
      <c r="N180" s="7">
        <f t="shared" si="8"/>
        <v>0.4080383923</v>
      </c>
      <c r="O180" s="2" t="str">
        <f t="shared" si="9"/>
        <v>Acceptable</v>
      </c>
    </row>
    <row r="181" ht="15.75" customHeight="1">
      <c r="A181" s="1" t="s">
        <v>42</v>
      </c>
      <c r="B181" s="1" t="s">
        <v>16</v>
      </c>
      <c r="C181" s="1" t="s">
        <v>28</v>
      </c>
      <c r="D181" s="1">
        <v>1837.0</v>
      </c>
      <c r="E181" s="1">
        <v>1687.0</v>
      </c>
      <c r="F181" s="1">
        <f t="shared" si="2"/>
        <v>-150</v>
      </c>
      <c r="G181" s="1">
        <f t="shared" si="3"/>
        <v>150</v>
      </c>
      <c r="H181" s="6">
        <f t="shared" si="4"/>
        <v>0.08165487207</v>
      </c>
      <c r="I181" s="6">
        <f t="shared" si="5"/>
        <v>0.9183451279</v>
      </c>
      <c r="J181" s="1">
        <f t="shared" si="6"/>
        <v>-150</v>
      </c>
      <c r="K181" s="1" t="str">
        <f t="shared" si="7"/>
        <v>Under Forecast</v>
      </c>
      <c r="L181" s="1">
        <f>F181+J180</f>
        <v>-112</v>
      </c>
      <c r="M181" s="7">
        <f t="shared" si="10"/>
        <v>93.44444444</v>
      </c>
      <c r="N181" s="7">
        <f t="shared" si="8"/>
        <v>-1.198573127</v>
      </c>
      <c r="O181" s="2" t="str">
        <f t="shared" si="9"/>
        <v>Acceptable</v>
      </c>
    </row>
    <row r="182" ht="15.75" customHeight="1">
      <c r="A182" s="1" t="s">
        <v>43</v>
      </c>
      <c r="B182" s="1" t="s">
        <v>16</v>
      </c>
      <c r="C182" s="1" t="s">
        <v>17</v>
      </c>
      <c r="D182" s="1">
        <v>1226.0</v>
      </c>
      <c r="E182" s="1">
        <v>1234.0</v>
      </c>
      <c r="F182" s="1">
        <f t="shared" si="2"/>
        <v>8</v>
      </c>
      <c r="G182" s="1">
        <f t="shared" si="3"/>
        <v>8</v>
      </c>
      <c r="H182" s="6">
        <f t="shared" si="4"/>
        <v>0.006525285481</v>
      </c>
      <c r="I182" s="6">
        <f t="shared" si="5"/>
        <v>0.9934747145</v>
      </c>
      <c r="J182" s="1">
        <f t="shared" si="6"/>
        <v>8</v>
      </c>
      <c r="K182" s="1" t="str">
        <f t="shared" si="7"/>
        <v>Over Forecast</v>
      </c>
      <c r="L182" s="1">
        <f>F182</f>
        <v>8</v>
      </c>
      <c r="M182" s="7">
        <f t="shared" si="10"/>
        <v>92.97237569</v>
      </c>
      <c r="N182" s="7">
        <f t="shared" si="8"/>
        <v>0.08604706442</v>
      </c>
      <c r="O182" s="2" t="str">
        <f t="shared" si="9"/>
        <v>Acceptable</v>
      </c>
    </row>
    <row r="183" ht="15.75" customHeight="1">
      <c r="A183" s="1" t="s">
        <v>43</v>
      </c>
      <c r="B183" s="1" t="s">
        <v>16</v>
      </c>
      <c r="C183" s="1" t="s">
        <v>18</v>
      </c>
      <c r="D183" s="1">
        <v>1168.0</v>
      </c>
      <c r="E183" s="1">
        <v>1086.0</v>
      </c>
      <c r="F183" s="1">
        <f t="shared" si="2"/>
        <v>-82</v>
      </c>
      <c r="G183" s="1">
        <f t="shared" si="3"/>
        <v>82</v>
      </c>
      <c r="H183" s="6">
        <f t="shared" si="4"/>
        <v>0.07020547945</v>
      </c>
      <c r="I183" s="6">
        <f t="shared" si="5"/>
        <v>0.9297945205</v>
      </c>
      <c r="J183" s="1">
        <f t="shared" si="6"/>
        <v>-82</v>
      </c>
      <c r="K183" s="1" t="str">
        <f t="shared" si="7"/>
        <v>Under Forecast</v>
      </c>
      <c r="L183" s="1">
        <f>F183+J182</f>
        <v>-74</v>
      </c>
      <c r="M183" s="7">
        <f t="shared" si="10"/>
        <v>92.91208791</v>
      </c>
      <c r="N183" s="7">
        <f t="shared" si="8"/>
        <v>-0.7964518037</v>
      </c>
      <c r="O183" s="2" t="str">
        <f t="shared" si="9"/>
        <v>Acceptable</v>
      </c>
    </row>
    <row r="184" ht="15.75" customHeight="1">
      <c r="A184" s="1" t="s">
        <v>43</v>
      </c>
      <c r="B184" s="1" t="s">
        <v>16</v>
      </c>
      <c r="C184" s="1" t="s">
        <v>19</v>
      </c>
      <c r="D184" s="1">
        <v>1352.0</v>
      </c>
      <c r="E184" s="1">
        <v>1390.0</v>
      </c>
      <c r="F184" s="1">
        <f t="shared" si="2"/>
        <v>38</v>
      </c>
      <c r="G184" s="1">
        <f t="shared" si="3"/>
        <v>38</v>
      </c>
      <c r="H184" s="6">
        <f t="shared" si="4"/>
        <v>0.02810650888</v>
      </c>
      <c r="I184" s="6">
        <f t="shared" si="5"/>
        <v>0.9718934911</v>
      </c>
      <c r="J184" s="1">
        <f t="shared" si="6"/>
        <v>38</v>
      </c>
      <c r="K184" s="1" t="str">
        <f t="shared" si="7"/>
        <v>Over Forecast</v>
      </c>
      <c r="L184" s="1">
        <f>F184</f>
        <v>38</v>
      </c>
      <c r="M184" s="7">
        <f t="shared" si="10"/>
        <v>92.61202186</v>
      </c>
      <c r="N184" s="7">
        <f t="shared" si="8"/>
        <v>0.4103139013</v>
      </c>
      <c r="O184" s="2" t="str">
        <f t="shared" si="9"/>
        <v>Acceptable</v>
      </c>
    </row>
    <row r="185" ht="15.75" customHeight="1">
      <c r="A185" s="1" t="s">
        <v>43</v>
      </c>
      <c r="B185" s="1" t="s">
        <v>16</v>
      </c>
      <c r="C185" s="1" t="s">
        <v>20</v>
      </c>
      <c r="D185" s="1">
        <v>1404.0</v>
      </c>
      <c r="E185" s="1">
        <v>1303.0</v>
      </c>
      <c r="F185" s="1">
        <f t="shared" si="2"/>
        <v>-101</v>
      </c>
      <c r="G185" s="1">
        <f t="shared" si="3"/>
        <v>101</v>
      </c>
      <c r="H185" s="6">
        <f t="shared" si="4"/>
        <v>0.07193732194</v>
      </c>
      <c r="I185" s="6">
        <f t="shared" si="5"/>
        <v>0.9280626781</v>
      </c>
      <c r="J185" s="1">
        <f t="shared" si="6"/>
        <v>-101</v>
      </c>
      <c r="K185" s="1" t="str">
        <f t="shared" si="7"/>
        <v>Under Forecast</v>
      </c>
      <c r="L185" s="1">
        <f>F185+J184</f>
        <v>-63</v>
      </c>
      <c r="M185" s="7">
        <f t="shared" si="10"/>
        <v>92.6576087</v>
      </c>
      <c r="N185" s="7">
        <f t="shared" si="8"/>
        <v>-0.6799225761</v>
      </c>
      <c r="O185" s="2" t="str">
        <f t="shared" si="9"/>
        <v>Acceptable</v>
      </c>
    </row>
    <row r="186" ht="15.75" customHeight="1">
      <c r="A186" s="1" t="s">
        <v>43</v>
      </c>
      <c r="B186" s="1" t="s">
        <v>16</v>
      </c>
      <c r="C186" s="1" t="s">
        <v>21</v>
      </c>
      <c r="D186" s="1">
        <v>1497.0</v>
      </c>
      <c r="E186" s="1">
        <v>1509.0</v>
      </c>
      <c r="F186" s="1">
        <f t="shared" si="2"/>
        <v>12</v>
      </c>
      <c r="G186" s="1">
        <f t="shared" si="3"/>
        <v>12</v>
      </c>
      <c r="H186" s="6">
        <f t="shared" si="4"/>
        <v>0.008016032064</v>
      </c>
      <c r="I186" s="6">
        <f t="shared" si="5"/>
        <v>0.9919839679</v>
      </c>
      <c r="J186" s="1">
        <f t="shared" si="6"/>
        <v>12</v>
      </c>
      <c r="K186" s="1" t="str">
        <f t="shared" si="7"/>
        <v>Over Forecast</v>
      </c>
      <c r="L186" s="1">
        <f>F186</f>
        <v>12</v>
      </c>
      <c r="M186" s="7">
        <f t="shared" si="10"/>
        <v>92.22162162</v>
      </c>
      <c r="N186" s="7">
        <f t="shared" si="8"/>
        <v>0.1301213293</v>
      </c>
      <c r="O186" s="2" t="str">
        <f t="shared" si="9"/>
        <v>Acceptable</v>
      </c>
    </row>
    <row r="187" ht="15.75" customHeight="1">
      <c r="A187" s="1" t="s">
        <v>43</v>
      </c>
      <c r="B187" s="1" t="s">
        <v>16</v>
      </c>
      <c r="C187" s="1" t="s">
        <v>22</v>
      </c>
      <c r="D187" s="1">
        <v>1412.0</v>
      </c>
      <c r="E187" s="1">
        <v>1342.0</v>
      </c>
      <c r="F187" s="1">
        <f t="shared" si="2"/>
        <v>-70</v>
      </c>
      <c r="G187" s="1">
        <f t="shared" si="3"/>
        <v>70</v>
      </c>
      <c r="H187" s="6">
        <f t="shared" si="4"/>
        <v>0.04957507082</v>
      </c>
      <c r="I187" s="6">
        <f t="shared" si="5"/>
        <v>0.9504249292</v>
      </c>
      <c r="J187" s="1">
        <f t="shared" si="6"/>
        <v>-70</v>
      </c>
      <c r="K187" s="1" t="str">
        <f t="shared" si="7"/>
        <v>Under Forecast</v>
      </c>
      <c r="L187" s="1">
        <f>F187+J186</f>
        <v>-58</v>
      </c>
      <c r="M187" s="7">
        <f t="shared" si="10"/>
        <v>92.10215054</v>
      </c>
      <c r="N187" s="7">
        <f t="shared" si="8"/>
        <v>-0.6297355671</v>
      </c>
      <c r="O187" s="2" t="str">
        <f t="shared" si="9"/>
        <v>Acceptable</v>
      </c>
    </row>
    <row r="188" ht="15.75" customHeight="1">
      <c r="A188" s="1" t="s">
        <v>43</v>
      </c>
      <c r="B188" s="1" t="s">
        <v>16</v>
      </c>
      <c r="C188" s="1" t="s">
        <v>23</v>
      </c>
      <c r="D188" s="1">
        <v>1547.0</v>
      </c>
      <c r="E188" s="1">
        <v>1499.0</v>
      </c>
      <c r="F188" s="1">
        <f t="shared" si="2"/>
        <v>-48</v>
      </c>
      <c r="G188" s="1">
        <f t="shared" si="3"/>
        <v>48</v>
      </c>
      <c r="H188" s="6">
        <f t="shared" si="4"/>
        <v>0.03102779573</v>
      </c>
      <c r="I188" s="6">
        <f t="shared" si="5"/>
        <v>0.9689722043</v>
      </c>
      <c r="J188" s="1">
        <f t="shared" si="6"/>
        <v>-48</v>
      </c>
      <c r="K188" s="1" t="str">
        <f t="shared" si="7"/>
        <v>Under Forecast</v>
      </c>
      <c r="L188" s="1">
        <f>F188</f>
        <v>-48</v>
      </c>
      <c r="M188" s="7">
        <f t="shared" si="10"/>
        <v>91.86631016</v>
      </c>
      <c r="N188" s="7">
        <f t="shared" si="8"/>
        <v>-0.5224983992</v>
      </c>
      <c r="O188" s="2" t="str">
        <f t="shared" si="9"/>
        <v>Acceptable</v>
      </c>
    </row>
    <row r="189" ht="15.75" customHeight="1">
      <c r="A189" s="1" t="s">
        <v>43</v>
      </c>
      <c r="B189" s="1" t="s">
        <v>16</v>
      </c>
      <c r="C189" s="1" t="s">
        <v>24</v>
      </c>
      <c r="D189" s="1">
        <v>1467.0</v>
      </c>
      <c r="E189" s="1">
        <v>1375.0</v>
      </c>
      <c r="F189" s="1">
        <f t="shared" si="2"/>
        <v>-92</v>
      </c>
      <c r="G189" s="1">
        <f t="shared" si="3"/>
        <v>92</v>
      </c>
      <c r="H189" s="6">
        <f t="shared" si="4"/>
        <v>0.06271301977</v>
      </c>
      <c r="I189" s="6">
        <f t="shared" si="5"/>
        <v>0.9372869802</v>
      </c>
      <c r="J189" s="1">
        <f t="shared" si="6"/>
        <v>-92</v>
      </c>
      <c r="K189" s="1" t="str">
        <f t="shared" si="7"/>
        <v>Under Forecast</v>
      </c>
      <c r="L189" s="1">
        <f>F189+J188</f>
        <v>-140</v>
      </c>
      <c r="M189" s="7">
        <f t="shared" si="10"/>
        <v>91.86702128</v>
      </c>
      <c r="N189" s="7">
        <f t="shared" si="8"/>
        <v>-1.523941868</v>
      </c>
      <c r="O189" s="2" t="str">
        <f t="shared" si="9"/>
        <v>Acceptable</v>
      </c>
    </row>
    <row r="190" ht="15.75" customHeight="1">
      <c r="A190" s="1" t="s">
        <v>43</v>
      </c>
      <c r="B190" s="1" t="s">
        <v>16</v>
      </c>
      <c r="C190" s="1" t="s">
        <v>25</v>
      </c>
      <c r="D190" s="1">
        <v>1320.0</v>
      </c>
      <c r="E190" s="1">
        <v>1186.0</v>
      </c>
      <c r="F190" s="1">
        <f t="shared" si="2"/>
        <v>-134</v>
      </c>
      <c r="G190" s="1">
        <f t="shared" si="3"/>
        <v>134</v>
      </c>
      <c r="H190" s="6">
        <f t="shared" si="4"/>
        <v>0.1015151515</v>
      </c>
      <c r="I190" s="6">
        <f t="shared" si="5"/>
        <v>0.8984848485</v>
      </c>
      <c r="J190" s="1">
        <f t="shared" si="6"/>
        <v>-134</v>
      </c>
      <c r="K190" s="1" t="str">
        <f t="shared" si="7"/>
        <v>Under Forecast</v>
      </c>
      <c r="L190" s="1">
        <f>F190</f>
        <v>-134</v>
      </c>
      <c r="M190" s="7">
        <f t="shared" si="10"/>
        <v>92.08994709</v>
      </c>
      <c r="N190" s="7">
        <f t="shared" si="8"/>
        <v>-1.455099109</v>
      </c>
      <c r="O190" s="2" t="str">
        <f t="shared" si="9"/>
        <v>Acceptable</v>
      </c>
    </row>
    <row r="191" ht="15.75" customHeight="1">
      <c r="A191" s="1" t="s">
        <v>43</v>
      </c>
      <c r="B191" s="1" t="s">
        <v>16</v>
      </c>
      <c r="C191" s="1" t="s">
        <v>26</v>
      </c>
      <c r="D191" s="1">
        <v>1556.0</v>
      </c>
      <c r="E191" s="1">
        <v>1595.0</v>
      </c>
      <c r="F191" s="1">
        <f t="shared" si="2"/>
        <v>39</v>
      </c>
      <c r="G191" s="1">
        <f t="shared" si="3"/>
        <v>39</v>
      </c>
      <c r="H191" s="6">
        <f t="shared" si="4"/>
        <v>0.02506426735</v>
      </c>
      <c r="I191" s="6">
        <f t="shared" si="5"/>
        <v>0.9749357326</v>
      </c>
      <c r="J191" s="1">
        <f t="shared" si="6"/>
        <v>39</v>
      </c>
      <c r="K191" s="1" t="str">
        <f t="shared" si="7"/>
        <v>Over Forecast</v>
      </c>
      <c r="L191" s="1">
        <f>F191+J190</f>
        <v>-95</v>
      </c>
      <c r="M191" s="7">
        <f t="shared" si="10"/>
        <v>91.81052632</v>
      </c>
      <c r="N191" s="7">
        <f t="shared" si="8"/>
        <v>-1.034739739</v>
      </c>
      <c r="O191" s="2" t="str">
        <f t="shared" si="9"/>
        <v>Acceptable</v>
      </c>
    </row>
    <row r="192" ht="15.75" customHeight="1">
      <c r="A192" s="1" t="s">
        <v>43</v>
      </c>
      <c r="B192" s="1" t="s">
        <v>16</v>
      </c>
      <c r="C192" s="1" t="s">
        <v>27</v>
      </c>
      <c r="D192" s="1">
        <v>1373.0</v>
      </c>
      <c r="E192" s="1">
        <v>1432.0</v>
      </c>
      <c r="F192" s="1">
        <f t="shared" si="2"/>
        <v>59</v>
      </c>
      <c r="G192" s="1">
        <f t="shared" si="3"/>
        <v>59</v>
      </c>
      <c r="H192" s="6">
        <f t="shared" si="4"/>
        <v>0.04297159505</v>
      </c>
      <c r="I192" s="6">
        <f t="shared" si="5"/>
        <v>0.957028405</v>
      </c>
      <c r="J192" s="1">
        <f t="shared" si="6"/>
        <v>59</v>
      </c>
      <c r="K192" s="1" t="str">
        <f t="shared" si="7"/>
        <v>Over Forecast</v>
      </c>
      <c r="L192" s="1">
        <f>F192</f>
        <v>59</v>
      </c>
      <c r="M192" s="7">
        <f t="shared" si="10"/>
        <v>91.63874346</v>
      </c>
      <c r="N192" s="7">
        <f t="shared" si="8"/>
        <v>0.6438324859</v>
      </c>
      <c r="O192" s="2" t="str">
        <f t="shared" si="9"/>
        <v>Acceptable</v>
      </c>
    </row>
    <row r="193" ht="15.75" customHeight="1">
      <c r="A193" s="1" t="s">
        <v>43</v>
      </c>
      <c r="B193" s="1" t="s">
        <v>16</v>
      </c>
      <c r="C193" s="1" t="s">
        <v>28</v>
      </c>
      <c r="D193" s="1">
        <v>1438.0</v>
      </c>
      <c r="E193" s="1">
        <v>1390.0</v>
      </c>
      <c r="F193" s="1">
        <f t="shared" si="2"/>
        <v>-48</v>
      </c>
      <c r="G193" s="1">
        <f t="shared" si="3"/>
        <v>48</v>
      </c>
      <c r="H193" s="6">
        <f t="shared" si="4"/>
        <v>0.03337969402</v>
      </c>
      <c r="I193" s="6">
        <f t="shared" si="5"/>
        <v>0.966620306</v>
      </c>
      <c r="J193" s="1">
        <f t="shared" si="6"/>
        <v>-48</v>
      </c>
      <c r="K193" s="1" t="str">
        <f t="shared" si="7"/>
        <v>Under Forecast</v>
      </c>
      <c r="L193" s="1">
        <f>F193+J192</f>
        <v>11</v>
      </c>
      <c r="M193" s="7">
        <f t="shared" si="10"/>
        <v>91.41145833</v>
      </c>
      <c r="N193" s="7">
        <f t="shared" si="8"/>
        <v>0.1203350236</v>
      </c>
      <c r="O193" s="2" t="str">
        <f t="shared" si="9"/>
        <v>Acceptable</v>
      </c>
    </row>
    <row r="194" ht="15.75" customHeight="1">
      <c r="A194" s="1" t="s">
        <v>44</v>
      </c>
      <c r="B194" s="1" t="s">
        <v>16</v>
      </c>
      <c r="C194" s="1" t="s">
        <v>17</v>
      </c>
      <c r="D194" s="1">
        <v>865.0</v>
      </c>
      <c r="E194" s="1">
        <v>884.0</v>
      </c>
      <c r="F194" s="1">
        <f t="shared" si="2"/>
        <v>19</v>
      </c>
      <c r="G194" s="1">
        <f t="shared" si="3"/>
        <v>19</v>
      </c>
      <c r="H194" s="6">
        <f t="shared" si="4"/>
        <v>0.02196531792</v>
      </c>
      <c r="I194" s="6">
        <f t="shared" si="5"/>
        <v>0.9780346821</v>
      </c>
      <c r="J194" s="1">
        <f t="shared" si="6"/>
        <v>19</v>
      </c>
      <c r="K194" s="1" t="str">
        <f t="shared" si="7"/>
        <v>Over Forecast</v>
      </c>
      <c r="L194" s="1">
        <f>F194</f>
        <v>19</v>
      </c>
      <c r="M194" s="7">
        <f t="shared" si="10"/>
        <v>91.03626943</v>
      </c>
      <c r="N194" s="7">
        <f t="shared" si="8"/>
        <v>0.208708025</v>
      </c>
      <c r="O194" s="2" t="str">
        <f t="shared" si="9"/>
        <v>Acceptable</v>
      </c>
    </row>
    <row r="195" ht="15.75" customHeight="1">
      <c r="A195" s="1" t="s">
        <v>44</v>
      </c>
      <c r="B195" s="1" t="s">
        <v>16</v>
      </c>
      <c r="C195" s="1" t="s">
        <v>18</v>
      </c>
      <c r="D195" s="1">
        <v>971.0</v>
      </c>
      <c r="E195" s="1">
        <v>1058.0</v>
      </c>
      <c r="F195" s="1">
        <f t="shared" si="2"/>
        <v>87</v>
      </c>
      <c r="G195" s="1">
        <f t="shared" si="3"/>
        <v>87</v>
      </c>
      <c r="H195" s="6">
        <f t="shared" si="4"/>
        <v>0.08959835221</v>
      </c>
      <c r="I195" s="6">
        <f t="shared" si="5"/>
        <v>0.9104016478</v>
      </c>
      <c r="J195" s="1">
        <f t="shared" si="6"/>
        <v>87</v>
      </c>
      <c r="K195" s="1" t="str">
        <f t="shared" si="7"/>
        <v>Over Forecast</v>
      </c>
      <c r="L195" s="1">
        <f>F195+J194</f>
        <v>106</v>
      </c>
      <c r="M195" s="7">
        <f t="shared" si="10"/>
        <v>91.01546392</v>
      </c>
      <c r="N195" s="7">
        <f t="shared" si="8"/>
        <v>1.164637254</v>
      </c>
      <c r="O195" s="2" t="str">
        <f t="shared" si="9"/>
        <v>Acceptable</v>
      </c>
    </row>
    <row r="196" ht="15.75" customHeight="1">
      <c r="A196" s="1" t="s">
        <v>44</v>
      </c>
      <c r="B196" s="1" t="s">
        <v>16</v>
      </c>
      <c r="C196" s="1" t="s">
        <v>19</v>
      </c>
      <c r="D196" s="1">
        <v>1042.0</v>
      </c>
      <c r="E196" s="1">
        <v>1142.0</v>
      </c>
      <c r="F196" s="1">
        <f t="shared" si="2"/>
        <v>100</v>
      </c>
      <c r="G196" s="1">
        <f t="shared" si="3"/>
        <v>100</v>
      </c>
      <c r="H196" s="6">
        <f t="shared" si="4"/>
        <v>0.09596928983</v>
      </c>
      <c r="I196" s="6">
        <f t="shared" si="5"/>
        <v>0.9040307102</v>
      </c>
      <c r="J196" s="1">
        <f t="shared" si="6"/>
        <v>100</v>
      </c>
      <c r="K196" s="1" t="str">
        <f t="shared" si="7"/>
        <v>Over Forecast</v>
      </c>
      <c r="L196" s="1">
        <f>F196</f>
        <v>100</v>
      </c>
      <c r="M196" s="7">
        <f t="shared" si="10"/>
        <v>91.06153846</v>
      </c>
      <c r="N196" s="7">
        <f t="shared" si="8"/>
        <v>1.098158473</v>
      </c>
      <c r="O196" s="2" t="str">
        <f t="shared" si="9"/>
        <v>Acceptable</v>
      </c>
    </row>
    <row r="197" ht="15.75" customHeight="1">
      <c r="A197" s="1" t="s">
        <v>44</v>
      </c>
      <c r="B197" s="1" t="s">
        <v>16</v>
      </c>
      <c r="C197" s="1" t="s">
        <v>20</v>
      </c>
      <c r="D197" s="1">
        <v>938.0</v>
      </c>
      <c r="E197" s="1">
        <v>984.0</v>
      </c>
      <c r="F197" s="1">
        <f t="shared" si="2"/>
        <v>46</v>
      </c>
      <c r="G197" s="1">
        <f t="shared" si="3"/>
        <v>46</v>
      </c>
      <c r="H197" s="6">
        <f t="shared" si="4"/>
        <v>0.04904051173</v>
      </c>
      <c r="I197" s="6">
        <f t="shared" si="5"/>
        <v>0.9509594883</v>
      </c>
      <c r="J197" s="1">
        <f t="shared" si="6"/>
        <v>46</v>
      </c>
      <c r="K197" s="1" t="str">
        <f t="shared" si="7"/>
        <v>Over Forecast</v>
      </c>
      <c r="L197" s="1">
        <f>F197+J196</f>
        <v>146</v>
      </c>
      <c r="M197" s="7">
        <f t="shared" si="10"/>
        <v>90.83163265</v>
      </c>
      <c r="N197" s="7">
        <f t="shared" si="8"/>
        <v>1.607369544</v>
      </c>
      <c r="O197" s="2" t="str">
        <f t="shared" si="9"/>
        <v>Acceptable</v>
      </c>
    </row>
    <row r="198" ht="15.75" customHeight="1">
      <c r="A198" s="1" t="s">
        <v>44</v>
      </c>
      <c r="B198" s="1" t="s">
        <v>16</v>
      </c>
      <c r="C198" s="1" t="s">
        <v>21</v>
      </c>
      <c r="D198" s="1">
        <v>965.0</v>
      </c>
      <c r="E198" s="1">
        <v>1020.0</v>
      </c>
      <c r="F198" s="1">
        <f t="shared" si="2"/>
        <v>55</v>
      </c>
      <c r="G198" s="1">
        <f t="shared" si="3"/>
        <v>55</v>
      </c>
      <c r="H198" s="6">
        <f t="shared" si="4"/>
        <v>0.05699481865</v>
      </c>
      <c r="I198" s="6">
        <f t="shared" si="5"/>
        <v>0.9430051813</v>
      </c>
      <c r="J198" s="1">
        <f t="shared" si="6"/>
        <v>55</v>
      </c>
      <c r="K198" s="1" t="str">
        <f t="shared" si="7"/>
        <v>Over Forecast</v>
      </c>
      <c r="L198" s="1">
        <f>F198</f>
        <v>55</v>
      </c>
      <c r="M198" s="7">
        <f t="shared" si="10"/>
        <v>90.64974619</v>
      </c>
      <c r="N198" s="7">
        <f t="shared" si="8"/>
        <v>0.6067308769</v>
      </c>
      <c r="O198" s="2" t="str">
        <f t="shared" si="9"/>
        <v>Acceptable</v>
      </c>
    </row>
    <row r="199" ht="15.75" customHeight="1">
      <c r="A199" s="1" t="s">
        <v>44</v>
      </c>
      <c r="B199" s="1" t="s">
        <v>16</v>
      </c>
      <c r="C199" s="1" t="s">
        <v>22</v>
      </c>
      <c r="D199" s="1">
        <v>1074.0</v>
      </c>
      <c r="E199" s="1">
        <v>1194.0</v>
      </c>
      <c r="F199" s="1">
        <f t="shared" si="2"/>
        <v>120</v>
      </c>
      <c r="G199" s="1">
        <f t="shared" si="3"/>
        <v>120</v>
      </c>
      <c r="H199" s="6">
        <f t="shared" si="4"/>
        <v>0.1117318436</v>
      </c>
      <c r="I199" s="6">
        <f t="shared" si="5"/>
        <v>0.8882681564</v>
      </c>
      <c r="J199" s="1">
        <f t="shared" si="6"/>
        <v>120</v>
      </c>
      <c r="K199" s="1" t="str">
        <f t="shared" si="7"/>
        <v>Over Forecast</v>
      </c>
      <c r="L199" s="1">
        <f>F199+J198</f>
        <v>175</v>
      </c>
      <c r="M199" s="7">
        <f t="shared" si="10"/>
        <v>90.7979798</v>
      </c>
      <c r="N199" s="7">
        <f t="shared" si="8"/>
        <v>1.927355657</v>
      </c>
      <c r="O199" s="2" t="str">
        <f t="shared" si="9"/>
        <v>Acceptable</v>
      </c>
    </row>
    <row r="200" ht="15.75" customHeight="1">
      <c r="A200" s="1" t="s">
        <v>44</v>
      </c>
      <c r="B200" s="1" t="s">
        <v>16</v>
      </c>
      <c r="C200" s="1" t="s">
        <v>23</v>
      </c>
      <c r="D200" s="1">
        <v>1082.0</v>
      </c>
      <c r="E200" s="1">
        <v>1069.0</v>
      </c>
      <c r="F200" s="1">
        <f t="shared" si="2"/>
        <v>-13</v>
      </c>
      <c r="G200" s="1">
        <f t="shared" si="3"/>
        <v>13</v>
      </c>
      <c r="H200" s="6">
        <f t="shared" si="4"/>
        <v>0.01201478743</v>
      </c>
      <c r="I200" s="6">
        <f t="shared" si="5"/>
        <v>0.9879852126</v>
      </c>
      <c r="J200" s="1">
        <f t="shared" si="6"/>
        <v>-13</v>
      </c>
      <c r="K200" s="1" t="str">
        <f t="shared" si="7"/>
        <v>Under Forecast</v>
      </c>
      <c r="L200" s="1">
        <f>F200</f>
        <v>-13</v>
      </c>
      <c r="M200" s="7">
        <f t="shared" si="10"/>
        <v>90.40703518</v>
      </c>
      <c r="N200" s="7">
        <f t="shared" si="8"/>
        <v>-0.1437941193</v>
      </c>
      <c r="O200" s="2" t="str">
        <f t="shared" si="9"/>
        <v>Acceptable</v>
      </c>
    </row>
    <row r="201" ht="15.75" customHeight="1">
      <c r="A201" s="1" t="s">
        <v>44</v>
      </c>
      <c r="B201" s="1" t="s">
        <v>16</v>
      </c>
      <c r="C201" s="1" t="s">
        <v>24</v>
      </c>
      <c r="D201" s="1">
        <v>1007.0</v>
      </c>
      <c r="E201" s="1">
        <v>1099.0</v>
      </c>
      <c r="F201" s="1">
        <f t="shared" si="2"/>
        <v>92</v>
      </c>
      <c r="G201" s="1">
        <f t="shared" si="3"/>
        <v>92</v>
      </c>
      <c r="H201" s="6">
        <f t="shared" si="4"/>
        <v>0.09136047666</v>
      </c>
      <c r="I201" s="6">
        <f t="shared" si="5"/>
        <v>0.9086395233</v>
      </c>
      <c r="J201" s="1">
        <f t="shared" si="6"/>
        <v>92</v>
      </c>
      <c r="K201" s="1" t="str">
        <f t="shared" si="7"/>
        <v>Over Forecast</v>
      </c>
      <c r="L201" s="1">
        <f>F201+J200</f>
        <v>79</v>
      </c>
      <c r="M201" s="7">
        <f t="shared" si="10"/>
        <v>90.415</v>
      </c>
      <c r="N201" s="7">
        <f t="shared" si="8"/>
        <v>0.8737488249</v>
      </c>
      <c r="O201" s="2" t="str">
        <f t="shared" si="9"/>
        <v>Acceptable</v>
      </c>
    </row>
    <row r="202" ht="15.75" customHeight="1">
      <c r="A202" s="1" t="s">
        <v>44</v>
      </c>
      <c r="B202" s="1" t="s">
        <v>16</v>
      </c>
      <c r="C202" s="1" t="s">
        <v>25</v>
      </c>
      <c r="D202" s="1">
        <v>1057.0</v>
      </c>
      <c r="E202" s="1">
        <v>1042.0</v>
      </c>
      <c r="F202" s="1">
        <f t="shared" si="2"/>
        <v>-15</v>
      </c>
      <c r="G202" s="1">
        <f t="shared" si="3"/>
        <v>15</v>
      </c>
      <c r="H202" s="6">
        <f t="shared" si="4"/>
        <v>0.01419110691</v>
      </c>
      <c r="I202" s="6">
        <f t="shared" si="5"/>
        <v>0.9858088931</v>
      </c>
      <c r="J202" s="1">
        <f t="shared" si="6"/>
        <v>-15</v>
      </c>
      <c r="K202" s="1" t="str">
        <f t="shared" si="7"/>
        <v>Under Forecast</v>
      </c>
      <c r="L202" s="1">
        <f>F202</f>
        <v>-15</v>
      </c>
      <c r="M202" s="7">
        <f t="shared" si="10"/>
        <v>90.039801</v>
      </c>
      <c r="N202" s="7">
        <f t="shared" si="8"/>
        <v>-0.1665929937</v>
      </c>
      <c r="O202" s="2" t="str">
        <f t="shared" si="9"/>
        <v>Acceptable</v>
      </c>
    </row>
    <row r="203" ht="15.75" customHeight="1">
      <c r="A203" s="1" t="s">
        <v>44</v>
      </c>
      <c r="B203" s="1" t="s">
        <v>16</v>
      </c>
      <c r="C203" s="1" t="s">
        <v>26</v>
      </c>
      <c r="D203" s="1">
        <v>935.0</v>
      </c>
      <c r="E203" s="1">
        <v>1011.0</v>
      </c>
      <c r="F203" s="1">
        <f t="shared" si="2"/>
        <v>76</v>
      </c>
      <c r="G203" s="1">
        <f t="shared" si="3"/>
        <v>76</v>
      </c>
      <c r="H203" s="6">
        <f t="shared" si="4"/>
        <v>0.08128342246</v>
      </c>
      <c r="I203" s="6">
        <f t="shared" si="5"/>
        <v>0.9187165775</v>
      </c>
      <c r="J203" s="1">
        <f t="shared" si="6"/>
        <v>76</v>
      </c>
      <c r="K203" s="1" t="str">
        <f t="shared" si="7"/>
        <v>Over Forecast</v>
      </c>
      <c r="L203" s="1">
        <f>F203+J202</f>
        <v>61</v>
      </c>
      <c r="M203" s="7">
        <f t="shared" si="10"/>
        <v>89.97029703</v>
      </c>
      <c r="N203" s="7">
        <f t="shared" si="8"/>
        <v>0.6780015407</v>
      </c>
      <c r="O203" s="2" t="str">
        <f t="shared" si="9"/>
        <v>Acceptable</v>
      </c>
    </row>
    <row r="204" ht="15.75" customHeight="1">
      <c r="A204" s="1" t="s">
        <v>44</v>
      </c>
      <c r="B204" s="1" t="s">
        <v>16</v>
      </c>
      <c r="C204" s="1" t="s">
        <v>27</v>
      </c>
      <c r="D204" s="1">
        <v>921.0</v>
      </c>
      <c r="E204" s="1">
        <v>1014.0</v>
      </c>
      <c r="F204" s="1">
        <f t="shared" si="2"/>
        <v>93</v>
      </c>
      <c r="G204" s="1">
        <f t="shared" si="3"/>
        <v>93</v>
      </c>
      <c r="H204" s="6">
        <f t="shared" si="4"/>
        <v>0.1009771987</v>
      </c>
      <c r="I204" s="6">
        <f t="shared" si="5"/>
        <v>0.8990228013</v>
      </c>
      <c r="J204" s="1">
        <f t="shared" si="6"/>
        <v>93</v>
      </c>
      <c r="K204" s="1" t="str">
        <f t="shared" si="7"/>
        <v>Over Forecast</v>
      </c>
      <c r="L204" s="1">
        <f>F204</f>
        <v>93</v>
      </c>
      <c r="M204" s="7">
        <f t="shared" si="10"/>
        <v>89.98522167</v>
      </c>
      <c r="N204" s="7">
        <f t="shared" si="8"/>
        <v>1.033503038</v>
      </c>
      <c r="O204" s="2" t="str">
        <f t="shared" si="9"/>
        <v>Acceptable</v>
      </c>
    </row>
    <row r="205" ht="15.75" customHeight="1">
      <c r="A205" s="1" t="s">
        <v>44</v>
      </c>
      <c r="B205" s="1" t="s">
        <v>16</v>
      </c>
      <c r="C205" s="1" t="s">
        <v>28</v>
      </c>
      <c r="D205" s="1">
        <v>1025.0</v>
      </c>
      <c r="E205" s="1">
        <v>1007.0</v>
      </c>
      <c r="F205" s="1">
        <f t="shared" si="2"/>
        <v>-18</v>
      </c>
      <c r="G205" s="1">
        <f t="shared" si="3"/>
        <v>18</v>
      </c>
      <c r="H205" s="6">
        <f t="shared" si="4"/>
        <v>0.01756097561</v>
      </c>
      <c r="I205" s="6">
        <f t="shared" si="5"/>
        <v>0.9824390244</v>
      </c>
      <c r="J205" s="1">
        <f t="shared" si="6"/>
        <v>-18</v>
      </c>
      <c r="K205" s="1" t="str">
        <f t="shared" si="7"/>
        <v>Under Forecast</v>
      </c>
      <c r="L205" s="1">
        <f>F205+J204</f>
        <v>75</v>
      </c>
      <c r="M205" s="7">
        <f t="shared" si="10"/>
        <v>89.63235294</v>
      </c>
      <c r="N205" s="7">
        <f t="shared" si="8"/>
        <v>0.8367514356</v>
      </c>
      <c r="O205" s="2" t="str">
        <f t="shared" si="9"/>
        <v>Acceptable</v>
      </c>
    </row>
    <row r="206" ht="15.75" customHeight="1">
      <c r="A206" s="1" t="s">
        <v>45</v>
      </c>
      <c r="B206" s="1" t="s">
        <v>16</v>
      </c>
      <c r="C206" s="1" t="s">
        <v>17</v>
      </c>
      <c r="D206" s="1">
        <v>1918.0</v>
      </c>
      <c r="E206" s="1">
        <v>2125.0</v>
      </c>
      <c r="F206" s="1">
        <f t="shared" si="2"/>
        <v>207</v>
      </c>
      <c r="G206" s="1">
        <f t="shared" si="3"/>
        <v>207</v>
      </c>
      <c r="H206" s="6">
        <f t="shared" si="4"/>
        <v>0.1079249218</v>
      </c>
      <c r="I206" s="6">
        <f t="shared" si="5"/>
        <v>0.8920750782</v>
      </c>
      <c r="J206" s="1">
        <f t="shared" si="6"/>
        <v>207</v>
      </c>
      <c r="K206" s="1" t="str">
        <f t="shared" si="7"/>
        <v>Over Forecast</v>
      </c>
      <c r="L206" s="1">
        <f>F206</f>
        <v>207</v>
      </c>
      <c r="M206" s="7">
        <f t="shared" si="10"/>
        <v>90.20487805</v>
      </c>
      <c r="N206" s="7">
        <f t="shared" si="8"/>
        <v>2.294776119</v>
      </c>
      <c r="O206" s="2" t="str">
        <f t="shared" si="9"/>
        <v>Acceptable</v>
      </c>
    </row>
    <row r="207" ht="15.75" customHeight="1">
      <c r="A207" s="1" t="s">
        <v>45</v>
      </c>
      <c r="B207" s="1" t="s">
        <v>16</v>
      </c>
      <c r="C207" s="1" t="s">
        <v>18</v>
      </c>
      <c r="D207" s="1">
        <v>2093.0</v>
      </c>
      <c r="E207" s="1">
        <v>2109.0</v>
      </c>
      <c r="F207" s="1">
        <f t="shared" si="2"/>
        <v>16</v>
      </c>
      <c r="G207" s="1">
        <f t="shared" si="3"/>
        <v>16</v>
      </c>
      <c r="H207" s="6">
        <f t="shared" si="4"/>
        <v>0.007644529384</v>
      </c>
      <c r="I207" s="6">
        <f t="shared" si="5"/>
        <v>0.9923554706</v>
      </c>
      <c r="J207" s="1">
        <f t="shared" si="6"/>
        <v>16</v>
      </c>
      <c r="K207" s="1" t="str">
        <f t="shared" si="7"/>
        <v>Over Forecast</v>
      </c>
      <c r="L207" s="1">
        <f>F207+J206</f>
        <v>223</v>
      </c>
      <c r="M207" s="7">
        <f t="shared" si="10"/>
        <v>89.84466019</v>
      </c>
      <c r="N207" s="7">
        <f t="shared" si="8"/>
        <v>2.482061811</v>
      </c>
      <c r="O207" s="2" t="str">
        <f t="shared" si="9"/>
        <v>Acceptable</v>
      </c>
    </row>
    <row r="208" ht="15.75" customHeight="1">
      <c r="A208" s="1" t="s">
        <v>45</v>
      </c>
      <c r="B208" s="1" t="s">
        <v>16</v>
      </c>
      <c r="C208" s="1" t="s">
        <v>19</v>
      </c>
      <c r="D208" s="1">
        <v>2188.0</v>
      </c>
      <c r="E208" s="1">
        <v>2329.0</v>
      </c>
      <c r="F208" s="1">
        <f t="shared" si="2"/>
        <v>141</v>
      </c>
      <c r="G208" s="1">
        <f t="shared" si="3"/>
        <v>141</v>
      </c>
      <c r="H208" s="6">
        <f t="shared" si="4"/>
        <v>0.06444241316</v>
      </c>
      <c r="I208" s="6">
        <f t="shared" si="5"/>
        <v>0.9355575868</v>
      </c>
      <c r="J208" s="1">
        <f t="shared" si="6"/>
        <v>141</v>
      </c>
      <c r="K208" s="1" t="str">
        <f t="shared" si="7"/>
        <v>Over Forecast</v>
      </c>
      <c r="L208" s="1">
        <f>F208</f>
        <v>141</v>
      </c>
      <c r="M208" s="7">
        <f t="shared" si="10"/>
        <v>90.09178744</v>
      </c>
      <c r="N208" s="7">
        <f t="shared" si="8"/>
        <v>1.565070513</v>
      </c>
      <c r="O208" s="2" t="str">
        <f t="shared" si="9"/>
        <v>Acceptable</v>
      </c>
    </row>
    <row r="209" ht="15.75" customHeight="1">
      <c r="A209" s="1" t="s">
        <v>45</v>
      </c>
      <c r="B209" s="1" t="s">
        <v>16</v>
      </c>
      <c r="C209" s="1" t="s">
        <v>20</v>
      </c>
      <c r="D209" s="1">
        <v>2019.0</v>
      </c>
      <c r="E209" s="1">
        <v>2187.0</v>
      </c>
      <c r="F209" s="1">
        <f t="shared" si="2"/>
        <v>168</v>
      </c>
      <c r="G209" s="1">
        <f t="shared" si="3"/>
        <v>168</v>
      </c>
      <c r="H209" s="6">
        <f t="shared" si="4"/>
        <v>0.08320950966</v>
      </c>
      <c r="I209" s="6">
        <f t="shared" si="5"/>
        <v>0.9167904903</v>
      </c>
      <c r="J209" s="1">
        <f t="shared" si="6"/>
        <v>168</v>
      </c>
      <c r="K209" s="1" t="str">
        <f t="shared" si="7"/>
        <v>Over Forecast</v>
      </c>
      <c r="L209" s="1">
        <f>F209+J208</f>
        <v>309</v>
      </c>
      <c r="M209" s="7">
        <f t="shared" si="10"/>
        <v>90.46634615</v>
      </c>
      <c r="N209" s="7">
        <f t="shared" si="8"/>
        <v>3.415634798</v>
      </c>
      <c r="O209" s="2" t="str">
        <f t="shared" si="9"/>
        <v>Acceptable</v>
      </c>
    </row>
    <row r="210" ht="15.75" customHeight="1">
      <c r="A210" s="1" t="s">
        <v>45</v>
      </c>
      <c r="B210" s="1" t="s">
        <v>16</v>
      </c>
      <c r="C210" s="1" t="s">
        <v>21</v>
      </c>
      <c r="D210" s="1">
        <v>2132.0</v>
      </c>
      <c r="E210" s="1">
        <v>2196.0</v>
      </c>
      <c r="F210" s="1">
        <f t="shared" si="2"/>
        <v>64</v>
      </c>
      <c r="G210" s="1">
        <f t="shared" si="3"/>
        <v>64</v>
      </c>
      <c r="H210" s="6">
        <f t="shared" si="4"/>
        <v>0.03001876173</v>
      </c>
      <c r="I210" s="6">
        <f t="shared" si="5"/>
        <v>0.9699812383</v>
      </c>
      <c r="J210" s="1">
        <f t="shared" si="6"/>
        <v>64</v>
      </c>
      <c r="K210" s="1" t="str">
        <f t="shared" si="7"/>
        <v>Over Forecast</v>
      </c>
      <c r="L210" s="1">
        <f>F210</f>
        <v>64</v>
      </c>
      <c r="M210" s="7">
        <f t="shared" si="10"/>
        <v>90.33971292</v>
      </c>
      <c r="N210" s="7">
        <f t="shared" si="8"/>
        <v>0.7084370531</v>
      </c>
      <c r="O210" s="2" t="str">
        <f t="shared" si="9"/>
        <v>Acceptable</v>
      </c>
    </row>
    <row r="211" ht="15.75" customHeight="1">
      <c r="A211" s="1" t="s">
        <v>45</v>
      </c>
      <c r="B211" s="1" t="s">
        <v>16</v>
      </c>
      <c r="C211" s="1" t="s">
        <v>22</v>
      </c>
      <c r="D211" s="1">
        <v>2267.0</v>
      </c>
      <c r="E211" s="1">
        <v>2289.0</v>
      </c>
      <c r="F211" s="1">
        <f t="shared" si="2"/>
        <v>22</v>
      </c>
      <c r="G211" s="1">
        <f t="shared" si="3"/>
        <v>22</v>
      </c>
      <c r="H211" s="6">
        <f t="shared" si="4"/>
        <v>0.009704455227</v>
      </c>
      <c r="I211" s="6">
        <f t="shared" si="5"/>
        <v>0.9902955448</v>
      </c>
      <c r="J211" s="1">
        <f t="shared" si="6"/>
        <v>22</v>
      </c>
      <c r="K211" s="1" t="str">
        <f t="shared" si="7"/>
        <v>Over Forecast</v>
      </c>
      <c r="L211" s="1">
        <f>F211+J210</f>
        <v>86</v>
      </c>
      <c r="M211" s="7">
        <f t="shared" si="10"/>
        <v>90.01428571</v>
      </c>
      <c r="N211" s="7">
        <f t="shared" si="8"/>
        <v>0.9554039041</v>
      </c>
      <c r="O211" s="2" t="str">
        <f t="shared" si="9"/>
        <v>Acceptable</v>
      </c>
    </row>
    <row r="212" ht="15.75" customHeight="1">
      <c r="A212" s="1" t="s">
        <v>45</v>
      </c>
      <c r="B212" s="1" t="s">
        <v>16</v>
      </c>
      <c r="C212" s="1" t="s">
        <v>23</v>
      </c>
      <c r="D212" s="1">
        <v>2140.0</v>
      </c>
      <c r="E212" s="1">
        <v>2224.0</v>
      </c>
      <c r="F212" s="1">
        <f t="shared" si="2"/>
        <v>84</v>
      </c>
      <c r="G212" s="1">
        <f t="shared" si="3"/>
        <v>84</v>
      </c>
      <c r="H212" s="6">
        <f t="shared" si="4"/>
        <v>0.03925233645</v>
      </c>
      <c r="I212" s="6">
        <f t="shared" si="5"/>
        <v>0.9607476636</v>
      </c>
      <c r="J212" s="1">
        <f t="shared" si="6"/>
        <v>84</v>
      </c>
      <c r="K212" s="1" t="str">
        <f t="shared" si="7"/>
        <v>Over Forecast</v>
      </c>
      <c r="L212" s="1">
        <f>F212</f>
        <v>84</v>
      </c>
      <c r="M212" s="7">
        <f t="shared" si="10"/>
        <v>89.98578199</v>
      </c>
      <c r="N212" s="7">
        <f t="shared" si="8"/>
        <v>0.9334808027</v>
      </c>
      <c r="O212" s="2" t="str">
        <f t="shared" si="9"/>
        <v>Acceptable</v>
      </c>
    </row>
    <row r="213" ht="15.75" customHeight="1">
      <c r="A213" s="1" t="s">
        <v>45</v>
      </c>
      <c r="B213" s="1" t="s">
        <v>16</v>
      </c>
      <c r="C213" s="1" t="s">
        <v>24</v>
      </c>
      <c r="D213" s="1">
        <v>2030.0</v>
      </c>
      <c r="E213" s="1">
        <v>2100.0</v>
      </c>
      <c r="F213" s="1">
        <f t="shared" si="2"/>
        <v>70</v>
      </c>
      <c r="G213" s="1">
        <f t="shared" si="3"/>
        <v>70</v>
      </c>
      <c r="H213" s="6">
        <f t="shared" si="4"/>
        <v>0.03448275862</v>
      </c>
      <c r="I213" s="6">
        <f t="shared" si="5"/>
        <v>0.9655172414</v>
      </c>
      <c r="J213" s="1">
        <f t="shared" si="6"/>
        <v>70</v>
      </c>
      <c r="K213" s="1" t="str">
        <f t="shared" si="7"/>
        <v>Over Forecast</v>
      </c>
      <c r="L213" s="1">
        <f>F213+J212</f>
        <v>154</v>
      </c>
      <c r="M213" s="7">
        <f t="shared" si="10"/>
        <v>89.89150943</v>
      </c>
      <c r="N213" s="7">
        <f t="shared" si="8"/>
        <v>1.713176261</v>
      </c>
      <c r="O213" s="2" t="str">
        <f t="shared" si="9"/>
        <v>Acceptable</v>
      </c>
    </row>
    <row r="214" ht="15.75" customHeight="1">
      <c r="A214" s="1" t="s">
        <v>45</v>
      </c>
      <c r="B214" s="1" t="s">
        <v>16</v>
      </c>
      <c r="C214" s="1" t="s">
        <v>25</v>
      </c>
      <c r="D214" s="1">
        <v>2044.0</v>
      </c>
      <c r="E214" s="1">
        <v>2225.0</v>
      </c>
      <c r="F214" s="1">
        <f t="shared" si="2"/>
        <v>181</v>
      </c>
      <c r="G214" s="1">
        <f t="shared" si="3"/>
        <v>181</v>
      </c>
      <c r="H214" s="6">
        <f t="shared" si="4"/>
        <v>0.0885518591</v>
      </c>
      <c r="I214" s="6">
        <f t="shared" si="5"/>
        <v>0.9114481409</v>
      </c>
      <c r="J214" s="1">
        <f t="shared" si="6"/>
        <v>181</v>
      </c>
      <c r="K214" s="1" t="str">
        <f t="shared" si="7"/>
        <v>Over Forecast</v>
      </c>
      <c r="L214" s="1">
        <f>F214</f>
        <v>181</v>
      </c>
      <c r="M214" s="7">
        <f t="shared" si="10"/>
        <v>90.31924883</v>
      </c>
      <c r="N214" s="7">
        <f t="shared" si="8"/>
        <v>2.004002495</v>
      </c>
      <c r="O214" s="2" t="str">
        <f t="shared" si="9"/>
        <v>Acceptable</v>
      </c>
    </row>
    <row r="215" ht="15.75" customHeight="1">
      <c r="A215" s="1" t="s">
        <v>45</v>
      </c>
      <c r="B215" s="1" t="s">
        <v>16</v>
      </c>
      <c r="C215" s="1" t="s">
        <v>26</v>
      </c>
      <c r="D215" s="1">
        <v>2080.0</v>
      </c>
      <c r="E215" s="1">
        <v>2291.0</v>
      </c>
      <c r="F215" s="1">
        <f t="shared" si="2"/>
        <v>211</v>
      </c>
      <c r="G215" s="1">
        <f t="shared" si="3"/>
        <v>211</v>
      </c>
      <c r="H215" s="6">
        <f t="shared" si="4"/>
        <v>0.1014423077</v>
      </c>
      <c r="I215" s="6">
        <f t="shared" si="5"/>
        <v>0.8985576923</v>
      </c>
      <c r="J215" s="1">
        <f t="shared" si="6"/>
        <v>211</v>
      </c>
      <c r="K215" s="1" t="str">
        <f t="shared" si="7"/>
        <v>Over Forecast</v>
      </c>
      <c r="L215" s="1">
        <f>F215+J214</f>
        <v>392</v>
      </c>
      <c r="M215" s="7">
        <f t="shared" si="10"/>
        <v>90.88317757</v>
      </c>
      <c r="N215" s="7">
        <f t="shared" si="8"/>
        <v>4.313229472</v>
      </c>
      <c r="O215" s="2" t="str">
        <f t="shared" si="9"/>
        <v>Over Forecasting Problem</v>
      </c>
    </row>
    <row r="216" ht="15.75" customHeight="1">
      <c r="A216" s="1" t="s">
        <v>45</v>
      </c>
      <c r="B216" s="1" t="s">
        <v>16</v>
      </c>
      <c r="C216" s="1" t="s">
        <v>27</v>
      </c>
      <c r="D216" s="1">
        <v>2028.0</v>
      </c>
      <c r="E216" s="1">
        <v>2188.0</v>
      </c>
      <c r="F216" s="1">
        <f t="shared" si="2"/>
        <v>160</v>
      </c>
      <c r="G216" s="1">
        <f t="shared" si="3"/>
        <v>160</v>
      </c>
      <c r="H216" s="6">
        <f t="shared" si="4"/>
        <v>0.07889546351</v>
      </c>
      <c r="I216" s="6">
        <f t="shared" si="5"/>
        <v>0.9211045365</v>
      </c>
      <c r="J216" s="1">
        <f t="shared" si="6"/>
        <v>160</v>
      </c>
      <c r="K216" s="1" t="str">
        <f t="shared" si="7"/>
        <v>Over Forecast</v>
      </c>
      <c r="L216" s="1">
        <f>F216</f>
        <v>160</v>
      </c>
      <c r="M216" s="7">
        <f t="shared" si="10"/>
        <v>91.20465116</v>
      </c>
      <c r="N216" s="7">
        <f t="shared" si="8"/>
        <v>1.754296497</v>
      </c>
      <c r="O216" s="2" t="str">
        <f t="shared" si="9"/>
        <v>Acceptable</v>
      </c>
    </row>
    <row r="217" ht="15.75" customHeight="1">
      <c r="A217" s="1" t="s">
        <v>45</v>
      </c>
      <c r="B217" s="1" t="s">
        <v>16</v>
      </c>
      <c r="C217" s="1" t="s">
        <v>28</v>
      </c>
      <c r="D217" s="1">
        <v>1775.0</v>
      </c>
      <c r="E217" s="1">
        <v>1835.0</v>
      </c>
      <c r="F217" s="1">
        <f t="shared" si="2"/>
        <v>60</v>
      </c>
      <c r="G217" s="1">
        <f t="shared" si="3"/>
        <v>60</v>
      </c>
      <c r="H217" s="6">
        <f t="shared" si="4"/>
        <v>0.0338028169</v>
      </c>
      <c r="I217" s="6">
        <f t="shared" si="5"/>
        <v>0.9661971831</v>
      </c>
      <c r="J217" s="1">
        <f t="shared" si="6"/>
        <v>60</v>
      </c>
      <c r="K217" s="1" t="str">
        <f t="shared" si="7"/>
        <v>Over Forecast</v>
      </c>
      <c r="L217" s="1">
        <f>F217+J216</f>
        <v>220</v>
      </c>
      <c r="M217" s="7">
        <f t="shared" si="10"/>
        <v>91.06018519</v>
      </c>
      <c r="N217" s="7">
        <f t="shared" si="8"/>
        <v>2.415984544</v>
      </c>
      <c r="O217" s="2" t="str">
        <f t="shared" si="9"/>
        <v>Acceptable</v>
      </c>
    </row>
    <row r="218" ht="15.75" customHeight="1">
      <c r="A218" s="1" t="s">
        <v>46</v>
      </c>
      <c r="B218" s="1" t="s">
        <v>16</v>
      </c>
      <c r="C218" s="1" t="s">
        <v>17</v>
      </c>
      <c r="D218" s="1">
        <v>1539.0</v>
      </c>
      <c r="E218" s="1">
        <v>1536.0</v>
      </c>
      <c r="F218" s="1">
        <f t="shared" si="2"/>
        <v>-3</v>
      </c>
      <c r="G218" s="1">
        <f t="shared" si="3"/>
        <v>3</v>
      </c>
      <c r="H218" s="6">
        <f t="shared" si="4"/>
        <v>0.001949317739</v>
      </c>
      <c r="I218" s="6">
        <f t="shared" si="5"/>
        <v>0.9980506823</v>
      </c>
      <c r="J218" s="1">
        <f t="shared" si="6"/>
        <v>-3</v>
      </c>
      <c r="K218" s="1" t="str">
        <f t="shared" si="7"/>
        <v>Under Forecast</v>
      </c>
      <c r="L218" s="1">
        <f>F218</f>
        <v>-3</v>
      </c>
      <c r="M218" s="7">
        <f t="shared" si="10"/>
        <v>90.65437788</v>
      </c>
      <c r="N218" s="7">
        <f t="shared" si="8"/>
        <v>-0.03309272062</v>
      </c>
      <c r="O218" s="2" t="str">
        <f t="shared" si="9"/>
        <v>Acceptable</v>
      </c>
    </row>
    <row r="219" ht="15.75" customHeight="1">
      <c r="A219" s="1" t="s">
        <v>46</v>
      </c>
      <c r="B219" s="1" t="s">
        <v>16</v>
      </c>
      <c r="C219" s="1" t="s">
        <v>18</v>
      </c>
      <c r="D219" s="1">
        <v>1781.0</v>
      </c>
      <c r="E219" s="1">
        <v>1707.0</v>
      </c>
      <c r="F219" s="1">
        <f t="shared" si="2"/>
        <v>-74</v>
      </c>
      <c r="G219" s="1">
        <f t="shared" si="3"/>
        <v>74</v>
      </c>
      <c r="H219" s="6">
        <f t="shared" si="4"/>
        <v>0.04154969118</v>
      </c>
      <c r="I219" s="6">
        <f t="shared" si="5"/>
        <v>0.9584503088</v>
      </c>
      <c r="J219" s="1">
        <f t="shared" si="6"/>
        <v>-74</v>
      </c>
      <c r="K219" s="1" t="str">
        <f t="shared" si="7"/>
        <v>Under Forecast</v>
      </c>
      <c r="L219" s="1">
        <f>F219+J218</f>
        <v>-77</v>
      </c>
      <c r="M219" s="7">
        <f t="shared" si="10"/>
        <v>90.57798165</v>
      </c>
      <c r="N219" s="7">
        <f t="shared" si="8"/>
        <v>-0.850096222</v>
      </c>
      <c r="O219" s="2" t="str">
        <f t="shared" si="9"/>
        <v>Acceptable</v>
      </c>
    </row>
    <row r="220" ht="15.75" customHeight="1">
      <c r="A220" s="1" t="s">
        <v>46</v>
      </c>
      <c r="B220" s="1" t="s">
        <v>16</v>
      </c>
      <c r="C220" s="1" t="s">
        <v>19</v>
      </c>
      <c r="D220" s="1">
        <v>1650.0</v>
      </c>
      <c r="E220" s="1">
        <v>1446.0</v>
      </c>
      <c r="F220" s="1">
        <f t="shared" si="2"/>
        <v>-204</v>
      </c>
      <c r="G220" s="1">
        <f t="shared" si="3"/>
        <v>204</v>
      </c>
      <c r="H220" s="6">
        <f t="shared" si="4"/>
        <v>0.1236363636</v>
      </c>
      <c r="I220" s="6">
        <f t="shared" si="5"/>
        <v>0.8763636364</v>
      </c>
      <c r="J220" s="1">
        <f t="shared" si="6"/>
        <v>-204</v>
      </c>
      <c r="K220" s="1" t="str">
        <f t="shared" si="7"/>
        <v>Under Forecast</v>
      </c>
      <c r="L220" s="1">
        <f>F220</f>
        <v>-204</v>
      </c>
      <c r="M220" s="7">
        <f t="shared" si="10"/>
        <v>91.09589041</v>
      </c>
      <c r="N220" s="7">
        <f t="shared" si="8"/>
        <v>-2.239398496</v>
      </c>
      <c r="O220" s="2" t="str">
        <f t="shared" si="9"/>
        <v>Acceptable</v>
      </c>
    </row>
    <row r="221" ht="15.75" customHeight="1">
      <c r="A221" s="1" t="s">
        <v>46</v>
      </c>
      <c r="B221" s="1" t="s">
        <v>16</v>
      </c>
      <c r="C221" s="1" t="s">
        <v>20</v>
      </c>
      <c r="D221" s="1">
        <v>1932.0</v>
      </c>
      <c r="E221" s="1">
        <v>1964.0</v>
      </c>
      <c r="F221" s="1">
        <f t="shared" si="2"/>
        <v>32</v>
      </c>
      <c r="G221" s="1">
        <f t="shared" si="3"/>
        <v>32</v>
      </c>
      <c r="H221" s="6">
        <f t="shared" si="4"/>
        <v>0.016563147</v>
      </c>
      <c r="I221" s="6">
        <f t="shared" si="5"/>
        <v>0.983436853</v>
      </c>
      <c r="J221" s="1">
        <f t="shared" si="6"/>
        <v>32</v>
      </c>
      <c r="K221" s="1" t="str">
        <f t="shared" si="7"/>
        <v>Over Forecast</v>
      </c>
      <c r="L221" s="1">
        <f>F221+J220</f>
        <v>-172</v>
      </c>
      <c r="M221" s="7">
        <f t="shared" si="10"/>
        <v>90.82727273</v>
      </c>
      <c r="N221" s="7">
        <f t="shared" si="8"/>
        <v>-1.893704334</v>
      </c>
      <c r="O221" s="2" t="str">
        <f t="shared" si="9"/>
        <v>Acceptable</v>
      </c>
    </row>
    <row r="222" ht="15.75" customHeight="1">
      <c r="A222" s="1" t="s">
        <v>46</v>
      </c>
      <c r="B222" s="1" t="s">
        <v>16</v>
      </c>
      <c r="C222" s="1" t="s">
        <v>21</v>
      </c>
      <c r="D222" s="1">
        <v>1761.0</v>
      </c>
      <c r="E222" s="1">
        <v>1728.0</v>
      </c>
      <c r="F222" s="1">
        <f t="shared" si="2"/>
        <v>-33</v>
      </c>
      <c r="G222" s="1">
        <f t="shared" si="3"/>
        <v>33</v>
      </c>
      <c r="H222" s="6">
        <f t="shared" si="4"/>
        <v>0.01873935264</v>
      </c>
      <c r="I222" s="6">
        <f t="shared" si="5"/>
        <v>0.9812606474</v>
      </c>
      <c r="J222" s="1">
        <f t="shared" si="6"/>
        <v>-33</v>
      </c>
      <c r="K222" s="1" t="str">
        <f t="shared" si="7"/>
        <v>Under Forecast</v>
      </c>
      <c r="L222" s="1">
        <f>F222</f>
        <v>-33</v>
      </c>
      <c r="M222" s="7">
        <f t="shared" si="10"/>
        <v>90.56561086</v>
      </c>
      <c r="N222" s="7">
        <f t="shared" si="8"/>
        <v>-0.3643767175</v>
      </c>
      <c r="O222" s="2" t="str">
        <f t="shared" si="9"/>
        <v>Acceptable</v>
      </c>
    </row>
    <row r="223" ht="15.75" customHeight="1">
      <c r="A223" s="1" t="s">
        <v>46</v>
      </c>
      <c r="B223" s="1" t="s">
        <v>16</v>
      </c>
      <c r="C223" s="1" t="s">
        <v>22</v>
      </c>
      <c r="D223" s="1">
        <v>1745.0</v>
      </c>
      <c r="E223" s="1">
        <v>1564.0</v>
      </c>
      <c r="F223" s="1">
        <f t="shared" si="2"/>
        <v>-181</v>
      </c>
      <c r="G223" s="1">
        <f t="shared" si="3"/>
        <v>181</v>
      </c>
      <c r="H223" s="6">
        <f t="shared" si="4"/>
        <v>0.1037249284</v>
      </c>
      <c r="I223" s="6">
        <f t="shared" si="5"/>
        <v>0.8962750716</v>
      </c>
      <c r="J223" s="1">
        <f t="shared" si="6"/>
        <v>-181</v>
      </c>
      <c r="K223" s="1" t="str">
        <f t="shared" si="7"/>
        <v>Under Forecast</v>
      </c>
      <c r="L223" s="1">
        <f>F223+J222</f>
        <v>-214</v>
      </c>
      <c r="M223" s="7">
        <f t="shared" si="10"/>
        <v>90.97297297</v>
      </c>
      <c r="N223" s="7">
        <f t="shared" si="8"/>
        <v>-2.352346999</v>
      </c>
      <c r="O223" s="2" t="str">
        <f t="shared" si="9"/>
        <v>Acceptable</v>
      </c>
    </row>
    <row r="224" ht="15.75" customHeight="1">
      <c r="A224" s="1" t="s">
        <v>46</v>
      </c>
      <c r="B224" s="1" t="s">
        <v>16</v>
      </c>
      <c r="C224" s="1" t="s">
        <v>23</v>
      </c>
      <c r="D224" s="1">
        <v>1853.0</v>
      </c>
      <c r="E224" s="1">
        <v>1699.0</v>
      </c>
      <c r="F224" s="1">
        <f t="shared" si="2"/>
        <v>-154</v>
      </c>
      <c r="G224" s="1">
        <f t="shared" si="3"/>
        <v>154</v>
      </c>
      <c r="H224" s="6">
        <f t="shared" si="4"/>
        <v>0.08310847275</v>
      </c>
      <c r="I224" s="6">
        <f t="shared" si="5"/>
        <v>0.9168915273</v>
      </c>
      <c r="J224" s="1">
        <f t="shared" si="6"/>
        <v>-154</v>
      </c>
      <c r="K224" s="1" t="str">
        <f t="shared" si="7"/>
        <v>Under Forecast</v>
      </c>
      <c r="L224" s="1">
        <f>F224</f>
        <v>-154</v>
      </c>
      <c r="M224" s="7">
        <f t="shared" si="10"/>
        <v>91.25560538</v>
      </c>
      <c r="N224" s="7">
        <f t="shared" si="8"/>
        <v>-1.687567568</v>
      </c>
      <c r="O224" s="2" t="str">
        <f t="shared" si="9"/>
        <v>Acceptable</v>
      </c>
    </row>
    <row r="225" ht="15.75" customHeight="1">
      <c r="A225" s="1" t="s">
        <v>46</v>
      </c>
      <c r="B225" s="1" t="s">
        <v>16</v>
      </c>
      <c r="C225" s="1" t="s">
        <v>24</v>
      </c>
      <c r="D225" s="1">
        <v>2105.0</v>
      </c>
      <c r="E225" s="1">
        <v>2066.0</v>
      </c>
      <c r="F225" s="1">
        <f t="shared" si="2"/>
        <v>-39</v>
      </c>
      <c r="G225" s="1">
        <f t="shared" si="3"/>
        <v>39</v>
      </c>
      <c r="H225" s="6">
        <f t="shared" si="4"/>
        <v>0.01852731591</v>
      </c>
      <c r="I225" s="6">
        <f t="shared" si="5"/>
        <v>0.9814726841</v>
      </c>
      <c r="J225" s="1">
        <f t="shared" si="6"/>
        <v>-39</v>
      </c>
      <c r="K225" s="1" t="str">
        <f t="shared" si="7"/>
        <v>Under Forecast</v>
      </c>
      <c r="L225" s="1">
        <f>F225+J224</f>
        <v>-193</v>
      </c>
      <c r="M225" s="7">
        <f t="shared" si="10"/>
        <v>91.02232143</v>
      </c>
      <c r="N225" s="7">
        <f t="shared" si="8"/>
        <v>-2.120359017</v>
      </c>
      <c r="O225" s="2" t="str">
        <f t="shared" si="9"/>
        <v>Acceptable</v>
      </c>
    </row>
    <row r="226" ht="15.75" customHeight="1">
      <c r="A226" s="1" t="s">
        <v>46</v>
      </c>
      <c r="B226" s="1" t="s">
        <v>16</v>
      </c>
      <c r="C226" s="1" t="s">
        <v>25</v>
      </c>
      <c r="D226" s="1">
        <v>1786.0</v>
      </c>
      <c r="E226" s="1">
        <v>1764.0</v>
      </c>
      <c r="F226" s="1">
        <f t="shared" si="2"/>
        <v>-22</v>
      </c>
      <c r="G226" s="1">
        <f t="shared" si="3"/>
        <v>22</v>
      </c>
      <c r="H226" s="6">
        <f t="shared" si="4"/>
        <v>0.01231802912</v>
      </c>
      <c r="I226" s="6">
        <f t="shared" si="5"/>
        <v>0.9876819709</v>
      </c>
      <c r="J226" s="1">
        <f t="shared" si="6"/>
        <v>-22</v>
      </c>
      <c r="K226" s="1" t="str">
        <f t="shared" si="7"/>
        <v>Under Forecast</v>
      </c>
      <c r="L226" s="1">
        <f>F226</f>
        <v>-22</v>
      </c>
      <c r="M226" s="7">
        <f t="shared" si="10"/>
        <v>90.71555556</v>
      </c>
      <c r="N226" s="7">
        <f t="shared" si="8"/>
        <v>-0.2425162902</v>
      </c>
      <c r="O226" s="2" t="str">
        <f t="shared" si="9"/>
        <v>Acceptable</v>
      </c>
    </row>
    <row r="227" ht="15.75" customHeight="1">
      <c r="A227" s="1" t="s">
        <v>46</v>
      </c>
      <c r="B227" s="1" t="s">
        <v>16</v>
      </c>
      <c r="C227" s="1" t="s">
        <v>26</v>
      </c>
      <c r="D227" s="1">
        <v>1963.0</v>
      </c>
      <c r="E227" s="1">
        <v>2008.0</v>
      </c>
      <c r="F227" s="1">
        <f t="shared" si="2"/>
        <v>45</v>
      </c>
      <c r="G227" s="1">
        <f t="shared" si="3"/>
        <v>45</v>
      </c>
      <c r="H227" s="6">
        <f t="shared" si="4"/>
        <v>0.02292409577</v>
      </c>
      <c r="I227" s="6">
        <f t="shared" si="5"/>
        <v>0.9770759042</v>
      </c>
      <c r="J227" s="1">
        <f t="shared" si="6"/>
        <v>45</v>
      </c>
      <c r="K227" s="1" t="str">
        <f t="shared" si="7"/>
        <v>Over Forecast</v>
      </c>
      <c r="L227" s="1">
        <f>F227+J226</f>
        <v>23</v>
      </c>
      <c r="M227" s="7">
        <f t="shared" si="10"/>
        <v>90.51327434</v>
      </c>
      <c r="N227" s="7">
        <f t="shared" si="8"/>
        <v>0.2541063747</v>
      </c>
      <c r="O227" s="2" t="str">
        <f t="shared" si="9"/>
        <v>Acceptable</v>
      </c>
    </row>
    <row r="228" ht="15.75" customHeight="1">
      <c r="A228" s="1" t="s">
        <v>46</v>
      </c>
      <c r="B228" s="1" t="s">
        <v>16</v>
      </c>
      <c r="C228" s="1" t="s">
        <v>27</v>
      </c>
      <c r="D228" s="1">
        <v>1637.0</v>
      </c>
      <c r="E228" s="1">
        <v>1527.0</v>
      </c>
      <c r="F228" s="1">
        <f t="shared" si="2"/>
        <v>-110</v>
      </c>
      <c r="G228" s="1">
        <f t="shared" si="3"/>
        <v>110</v>
      </c>
      <c r="H228" s="6">
        <f t="shared" si="4"/>
        <v>0.06719609041</v>
      </c>
      <c r="I228" s="6">
        <f t="shared" si="5"/>
        <v>0.9328039096</v>
      </c>
      <c r="J228" s="1">
        <f t="shared" si="6"/>
        <v>-110</v>
      </c>
      <c r="K228" s="1" t="str">
        <f t="shared" si="7"/>
        <v>Under Forecast</v>
      </c>
      <c r="L228" s="1">
        <f>F228</f>
        <v>-110</v>
      </c>
      <c r="M228" s="7">
        <f t="shared" si="10"/>
        <v>90.59911894</v>
      </c>
      <c r="N228" s="7">
        <f t="shared" si="8"/>
        <v>-1.214139842</v>
      </c>
      <c r="O228" s="2" t="str">
        <f t="shared" si="9"/>
        <v>Acceptable</v>
      </c>
    </row>
    <row r="229" ht="15.75" customHeight="1">
      <c r="A229" s="1" t="s">
        <v>46</v>
      </c>
      <c r="B229" s="1" t="s">
        <v>16</v>
      </c>
      <c r="C229" s="1" t="s">
        <v>28</v>
      </c>
      <c r="D229" s="1">
        <v>1622.0</v>
      </c>
      <c r="E229" s="1">
        <v>1498.0</v>
      </c>
      <c r="F229" s="1">
        <f t="shared" si="2"/>
        <v>-124</v>
      </c>
      <c r="G229" s="1">
        <f t="shared" si="3"/>
        <v>124</v>
      </c>
      <c r="H229" s="6">
        <f t="shared" si="4"/>
        <v>0.07644882861</v>
      </c>
      <c r="I229" s="6">
        <f t="shared" si="5"/>
        <v>0.9235511714</v>
      </c>
      <c r="J229" s="1">
        <f t="shared" si="6"/>
        <v>-124</v>
      </c>
      <c r="K229" s="1" t="str">
        <f t="shared" si="7"/>
        <v>Under Forecast</v>
      </c>
      <c r="L229" s="1">
        <f>F229+J228</f>
        <v>-234</v>
      </c>
      <c r="M229" s="7">
        <f t="shared" si="10"/>
        <v>90.74561404</v>
      </c>
      <c r="N229" s="7">
        <f t="shared" si="8"/>
        <v>-2.578637023</v>
      </c>
      <c r="O229" s="2" t="str">
        <f t="shared" si="9"/>
        <v>Acceptable</v>
      </c>
    </row>
    <row r="230" ht="15.75" customHeight="1">
      <c r="A230" s="1" t="s">
        <v>47</v>
      </c>
      <c r="B230" s="1" t="s">
        <v>16</v>
      </c>
      <c r="C230" s="1" t="s">
        <v>17</v>
      </c>
      <c r="D230" s="1">
        <v>1829.0</v>
      </c>
      <c r="E230" s="1">
        <v>1877.0</v>
      </c>
      <c r="F230" s="1">
        <f t="shared" si="2"/>
        <v>48</v>
      </c>
      <c r="G230" s="1">
        <f t="shared" si="3"/>
        <v>48</v>
      </c>
      <c r="H230" s="6">
        <f t="shared" si="4"/>
        <v>0.0262438491</v>
      </c>
      <c r="I230" s="6">
        <f t="shared" si="5"/>
        <v>0.9737561509</v>
      </c>
      <c r="J230" s="1">
        <f t="shared" si="6"/>
        <v>48</v>
      </c>
      <c r="K230" s="1" t="str">
        <f t="shared" si="7"/>
        <v>Over Forecast</v>
      </c>
      <c r="L230" s="1">
        <f>F230</f>
        <v>48</v>
      </c>
      <c r="M230" s="7">
        <f t="shared" si="10"/>
        <v>90.55895197</v>
      </c>
      <c r="N230" s="7">
        <f t="shared" si="8"/>
        <v>0.5300414698</v>
      </c>
      <c r="O230" s="2" t="str">
        <f t="shared" si="9"/>
        <v>Acceptable</v>
      </c>
    </row>
    <row r="231" ht="15.75" customHeight="1">
      <c r="A231" s="1" t="s">
        <v>47</v>
      </c>
      <c r="B231" s="1" t="s">
        <v>16</v>
      </c>
      <c r="C231" s="1" t="s">
        <v>18</v>
      </c>
      <c r="D231" s="1">
        <v>1928.0</v>
      </c>
      <c r="E231" s="1">
        <v>1894.0</v>
      </c>
      <c r="F231" s="1">
        <f t="shared" si="2"/>
        <v>-34</v>
      </c>
      <c r="G231" s="1">
        <f t="shared" si="3"/>
        <v>34</v>
      </c>
      <c r="H231" s="6">
        <f t="shared" si="4"/>
        <v>0.01763485477</v>
      </c>
      <c r="I231" s="6">
        <f t="shared" si="5"/>
        <v>0.9823651452</v>
      </c>
      <c r="J231" s="1">
        <f t="shared" si="6"/>
        <v>-34</v>
      </c>
      <c r="K231" s="1" t="str">
        <f t="shared" si="7"/>
        <v>Under Forecast</v>
      </c>
      <c r="L231" s="1">
        <f>F231+J230</f>
        <v>14</v>
      </c>
      <c r="M231" s="7">
        <f t="shared" si="10"/>
        <v>90.31304348</v>
      </c>
      <c r="N231" s="7">
        <f t="shared" si="8"/>
        <v>0.1550163682</v>
      </c>
      <c r="O231" s="2" t="str">
        <f t="shared" si="9"/>
        <v>Acceptable</v>
      </c>
    </row>
    <row r="232" ht="15.75" customHeight="1">
      <c r="A232" s="1" t="s">
        <v>47</v>
      </c>
      <c r="B232" s="1" t="s">
        <v>16</v>
      </c>
      <c r="C232" s="1" t="s">
        <v>19</v>
      </c>
      <c r="D232" s="1">
        <v>2156.0</v>
      </c>
      <c r="E232" s="1">
        <v>2431.0</v>
      </c>
      <c r="F232" s="1">
        <f t="shared" si="2"/>
        <v>275</v>
      </c>
      <c r="G232" s="1">
        <f t="shared" si="3"/>
        <v>275</v>
      </c>
      <c r="H232" s="6">
        <f t="shared" si="4"/>
        <v>0.1275510204</v>
      </c>
      <c r="I232" s="6">
        <f t="shared" si="5"/>
        <v>0.8724489796</v>
      </c>
      <c r="J232" s="1">
        <f t="shared" si="6"/>
        <v>275</v>
      </c>
      <c r="K232" s="1" t="str">
        <f t="shared" si="7"/>
        <v>Over Forecast</v>
      </c>
      <c r="L232" s="1">
        <f>F232</f>
        <v>275</v>
      </c>
      <c r="M232" s="7">
        <f t="shared" si="10"/>
        <v>91.11255411</v>
      </c>
      <c r="N232" s="7">
        <f t="shared" si="8"/>
        <v>3.018244881</v>
      </c>
      <c r="O232" s="2" t="str">
        <f t="shared" si="9"/>
        <v>Acceptable</v>
      </c>
    </row>
    <row r="233" ht="15.75" customHeight="1">
      <c r="A233" s="1" t="s">
        <v>47</v>
      </c>
      <c r="B233" s="1" t="s">
        <v>16</v>
      </c>
      <c r="C233" s="1" t="s">
        <v>20</v>
      </c>
      <c r="D233" s="1">
        <v>2102.0</v>
      </c>
      <c r="E233" s="1">
        <v>2219.0</v>
      </c>
      <c r="F233" s="1">
        <f t="shared" si="2"/>
        <v>117</v>
      </c>
      <c r="G233" s="1">
        <f t="shared" si="3"/>
        <v>117</v>
      </c>
      <c r="H233" s="6">
        <f t="shared" si="4"/>
        <v>0.05566127498</v>
      </c>
      <c r="I233" s="6">
        <f t="shared" si="5"/>
        <v>0.944338725</v>
      </c>
      <c r="J233" s="1">
        <f t="shared" si="6"/>
        <v>117</v>
      </c>
      <c r="K233" s="1" t="str">
        <f t="shared" si="7"/>
        <v>Over Forecast</v>
      </c>
      <c r="L233" s="1">
        <f>F233+J232</f>
        <v>392</v>
      </c>
      <c r="M233" s="7">
        <f t="shared" si="10"/>
        <v>91.22413793</v>
      </c>
      <c r="N233" s="7">
        <f t="shared" si="8"/>
        <v>4.297108297</v>
      </c>
      <c r="O233" s="2" t="str">
        <f t="shared" si="9"/>
        <v>Over Forecasting Problem</v>
      </c>
    </row>
    <row r="234" ht="15.75" customHeight="1">
      <c r="A234" s="1" t="s">
        <v>47</v>
      </c>
      <c r="B234" s="1" t="s">
        <v>16</v>
      </c>
      <c r="C234" s="1" t="s">
        <v>21</v>
      </c>
      <c r="D234" s="1">
        <v>1995.0</v>
      </c>
      <c r="E234" s="1">
        <v>2194.0</v>
      </c>
      <c r="F234" s="1">
        <f t="shared" si="2"/>
        <v>199</v>
      </c>
      <c r="G234" s="1">
        <f t="shared" si="3"/>
        <v>199</v>
      </c>
      <c r="H234" s="6">
        <f t="shared" si="4"/>
        <v>0.09974937343</v>
      </c>
      <c r="I234" s="6">
        <f t="shared" si="5"/>
        <v>0.9002506266</v>
      </c>
      <c r="J234" s="1">
        <f t="shared" si="6"/>
        <v>199</v>
      </c>
      <c r="K234" s="1" t="str">
        <f t="shared" si="7"/>
        <v>Over Forecast</v>
      </c>
      <c r="L234" s="1">
        <f>F234</f>
        <v>199</v>
      </c>
      <c r="M234" s="7">
        <f t="shared" si="10"/>
        <v>91.68669528</v>
      </c>
      <c r="N234" s="7">
        <f t="shared" si="8"/>
        <v>2.170434864</v>
      </c>
      <c r="O234" s="2" t="str">
        <f t="shared" si="9"/>
        <v>Acceptable</v>
      </c>
    </row>
    <row r="235" ht="15.75" customHeight="1">
      <c r="A235" s="1" t="s">
        <v>47</v>
      </c>
      <c r="B235" s="1" t="s">
        <v>16</v>
      </c>
      <c r="C235" s="1" t="s">
        <v>22</v>
      </c>
      <c r="D235" s="1">
        <v>2185.0</v>
      </c>
      <c r="E235" s="1">
        <v>2176.0</v>
      </c>
      <c r="F235" s="1">
        <f t="shared" si="2"/>
        <v>-9</v>
      </c>
      <c r="G235" s="1">
        <f t="shared" si="3"/>
        <v>9</v>
      </c>
      <c r="H235" s="6">
        <f t="shared" si="4"/>
        <v>0.004118993135</v>
      </c>
      <c r="I235" s="6">
        <f t="shared" si="5"/>
        <v>0.9958810069</v>
      </c>
      <c r="J235" s="1">
        <f t="shared" si="6"/>
        <v>-9</v>
      </c>
      <c r="K235" s="1" t="str">
        <f t="shared" si="7"/>
        <v>Under Forecast</v>
      </c>
      <c r="L235" s="1">
        <f>F235+J234</f>
        <v>190</v>
      </c>
      <c r="M235" s="7">
        <f t="shared" si="10"/>
        <v>91.33333333</v>
      </c>
      <c r="N235" s="7">
        <f t="shared" si="8"/>
        <v>2.080291971</v>
      </c>
      <c r="O235" s="2" t="str">
        <f t="shared" si="9"/>
        <v>Acceptable</v>
      </c>
    </row>
    <row r="236" ht="15.75" customHeight="1">
      <c r="A236" s="1" t="s">
        <v>47</v>
      </c>
      <c r="B236" s="1" t="s">
        <v>16</v>
      </c>
      <c r="C236" s="1" t="s">
        <v>23</v>
      </c>
      <c r="D236" s="1">
        <v>2316.0</v>
      </c>
      <c r="E236" s="1">
        <v>2551.0</v>
      </c>
      <c r="F236" s="1">
        <f t="shared" si="2"/>
        <v>235</v>
      </c>
      <c r="G236" s="1">
        <f t="shared" si="3"/>
        <v>235</v>
      </c>
      <c r="H236" s="6">
        <f t="shared" si="4"/>
        <v>0.1014680484</v>
      </c>
      <c r="I236" s="6">
        <f t="shared" si="5"/>
        <v>0.8985319516</v>
      </c>
      <c r="J236" s="1">
        <f t="shared" si="6"/>
        <v>235</v>
      </c>
      <c r="K236" s="1" t="str">
        <f t="shared" si="7"/>
        <v>Over Forecast</v>
      </c>
      <c r="L236" s="1">
        <f>F236</f>
        <v>235</v>
      </c>
      <c r="M236" s="7">
        <f t="shared" si="10"/>
        <v>91.94468085</v>
      </c>
      <c r="N236" s="7">
        <f t="shared" si="8"/>
        <v>2.555884667</v>
      </c>
      <c r="O236" s="2" t="str">
        <f t="shared" si="9"/>
        <v>Acceptable</v>
      </c>
    </row>
    <row r="237" ht="15.75" customHeight="1">
      <c r="A237" s="1" t="s">
        <v>47</v>
      </c>
      <c r="B237" s="1" t="s">
        <v>16</v>
      </c>
      <c r="C237" s="1" t="s">
        <v>24</v>
      </c>
      <c r="D237" s="1">
        <v>2244.0</v>
      </c>
      <c r="E237" s="1">
        <v>2437.0</v>
      </c>
      <c r="F237" s="1">
        <f t="shared" si="2"/>
        <v>193</v>
      </c>
      <c r="G237" s="1">
        <f t="shared" si="3"/>
        <v>193</v>
      </c>
      <c r="H237" s="6">
        <f t="shared" si="4"/>
        <v>0.08600713012</v>
      </c>
      <c r="I237" s="6">
        <f t="shared" si="5"/>
        <v>0.9139928699</v>
      </c>
      <c r="J237" s="1">
        <f t="shared" si="6"/>
        <v>193</v>
      </c>
      <c r="K237" s="1" t="str">
        <f t="shared" si="7"/>
        <v>Over Forecast</v>
      </c>
      <c r="L237" s="1">
        <f>F237+J236</f>
        <v>428</v>
      </c>
      <c r="M237" s="7">
        <f t="shared" si="10"/>
        <v>92.37288136</v>
      </c>
      <c r="N237" s="7">
        <f t="shared" si="8"/>
        <v>4.633394495</v>
      </c>
      <c r="O237" s="2" t="str">
        <f t="shared" si="9"/>
        <v>Over Forecasting Problem</v>
      </c>
    </row>
    <row r="238" ht="15.75" customHeight="1">
      <c r="A238" s="1" t="s">
        <v>47</v>
      </c>
      <c r="B238" s="1" t="s">
        <v>16</v>
      </c>
      <c r="C238" s="1" t="s">
        <v>25</v>
      </c>
      <c r="D238" s="1">
        <v>1984.0</v>
      </c>
      <c r="E238" s="1">
        <v>2057.0</v>
      </c>
      <c r="F238" s="1">
        <f t="shared" si="2"/>
        <v>73</v>
      </c>
      <c r="G238" s="1">
        <f t="shared" si="3"/>
        <v>73</v>
      </c>
      <c r="H238" s="6">
        <f t="shared" si="4"/>
        <v>0.03679435484</v>
      </c>
      <c r="I238" s="6">
        <f t="shared" si="5"/>
        <v>0.9632056452</v>
      </c>
      <c r="J238" s="1">
        <f t="shared" si="6"/>
        <v>73</v>
      </c>
      <c r="K238" s="1" t="str">
        <f t="shared" si="7"/>
        <v>Over Forecast</v>
      </c>
      <c r="L238" s="1">
        <f>F238</f>
        <v>73</v>
      </c>
      <c r="M238" s="7">
        <f t="shared" si="10"/>
        <v>92.29113924</v>
      </c>
      <c r="N238" s="7">
        <f t="shared" si="8"/>
        <v>0.7909751749</v>
      </c>
      <c r="O238" s="2" t="str">
        <f t="shared" si="9"/>
        <v>Acceptable</v>
      </c>
    </row>
    <row r="239" ht="15.75" customHeight="1">
      <c r="A239" s="1" t="s">
        <v>47</v>
      </c>
      <c r="B239" s="1" t="s">
        <v>16</v>
      </c>
      <c r="C239" s="1" t="s">
        <v>26</v>
      </c>
      <c r="D239" s="1">
        <v>2061.0</v>
      </c>
      <c r="E239" s="1">
        <v>2284.0</v>
      </c>
      <c r="F239" s="1">
        <f t="shared" si="2"/>
        <v>223</v>
      </c>
      <c r="G239" s="1">
        <f t="shared" si="3"/>
        <v>223</v>
      </c>
      <c r="H239" s="6">
        <f t="shared" si="4"/>
        <v>0.108199903</v>
      </c>
      <c r="I239" s="6">
        <f t="shared" si="5"/>
        <v>0.891800097</v>
      </c>
      <c r="J239" s="1">
        <f t="shared" si="6"/>
        <v>223</v>
      </c>
      <c r="K239" s="1" t="str">
        <f t="shared" si="7"/>
        <v>Over Forecast</v>
      </c>
      <c r="L239" s="1">
        <f>F239+J238</f>
        <v>296</v>
      </c>
      <c r="M239" s="7">
        <f t="shared" si="10"/>
        <v>92.84033613</v>
      </c>
      <c r="N239" s="7">
        <f t="shared" si="8"/>
        <v>3.18826937</v>
      </c>
      <c r="O239" s="2" t="str">
        <f t="shared" si="9"/>
        <v>Acceptable</v>
      </c>
    </row>
    <row r="240" ht="15.75" customHeight="1">
      <c r="A240" s="1" t="s">
        <v>47</v>
      </c>
      <c r="B240" s="1" t="s">
        <v>16</v>
      </c>
      <c r="C240" s="1" t="s">
        <v>27</v>
      </c>
      <c r="D240" s="1">
        <v>1686.0</v>
      </c>
      <c r="E240" s="1">
        <v>1642.0</v>
      </c>
      <c r="F240" s="1">
        <f t="shared" si="2"/>
        <v>-44</v>
      </c>
      <c r="G240" s="1">
        <f t="shared" si="3"/>
        <v>44</v>
      </c>
      <c r="H240" s="6">
        <f t="shared" si="4"/>
        <v>0.02609727165</v>
      </c>
      <c r="I240" s="6">
        <f t="shared" si="5"/>
        <v>0.9739027284</v>
      </c>
      <c r="J240" s="1">
        <f t="shared" si="6"/>
        <v>-44</v>
      </c>
      <c r="K240" s="1" t="str">
        <f t="shared" si="7"/>
        <v>Under Forecast</v>
      </c>
      <c r="L240" s="1">
        <f>F240</f>
        <v>-44</v>
      </c>
      <c r="M240" s="7">
        <f t="shared" si="10"/>
        <v>92.63598326</v>
      </c>
      <c r="N240" s="7">
        <f t="shared" si="8"/>
        <v>-0.4749774164</v>
      </c>
      <c r="O240" s="2" t="str">
        <f t="shared" si="9"/>
        <v>Acceptable</v>
      </c>
    </row>
    <row r="241" ht="15.75" customHeight="1">
      <c r="A241" s="1" t="s">
        <v>47</v>
      </c>
      <c r="B241" s="1" t="s">
        <v>16</v>
      </c>
      <c r="C241" s="1" t="s">
        <v>28</v>
      </c>
      <c r="D241" s="1">
        <v>1749.0</v>
      </c>
      <c r="E241" s="1">
        <v>1923.0</v>
      </c>
      <c r="F241" s="1">
        <f t="shared" si="2"/>
        <v>174</v>
      </c>
      <c r="G241" s="1">
        <f t="shared" si="3"/>
        <v>174</v>
      </c>
      <c r="H241" s="6">
        <f t="shared" si="4"/>
        <v>0.09948542024</v>
      </c>
      <c r="I241" s="6">
        <f t="shared" si="5"/>
        <v>0.9005145798</v>
      </c>
      <c r="J241" s="1">
        <f t="shared" si="6"/>
        <v>174</v>
      </c>
      <c r="K241" s="1" t="str">
        <f t="shared" si="7"/>
        <v>Over Forecast</v>
      </c>
      <c r="L241" s="1">
        <f>F241+J240</f>
        <v>130</v>
      </c>
      <c r="M241" s="7">
        <f t="shared" si="10"/>
        <v>92.975</v>
      </c>
      <c r="N241" s="7">
        <f t="shared" si="8"/>
        <v>1.398225329</v>
      </c>
      <c r="O241" s="2" t="str">
        <f t="shared" si="9"/>
        <v>Acceptable</v>
      </c>
    </row>
    <row r="242" ht="15.75" customHeight="1">
      <c r="A242" s="1" t="s">
        <v>48</v>
      </c>
      <c r="B242" s="1" t="s">
        <v>16</v>
      </c>
      <c r="C242" s="1" t="s">
        <v>17</v>
      </c>
      <c r="D242" s="1">
        <v>975.0</v>
      </c>
      <c r="E242" s="1">
        <v>984.0</v>
      </c>
      <c r="F242" s="1">
        <f t="shared" si="2"/>
        <v>9</v>
      </c>
      <c r="G242" s="1">
        <f t="shared" si="3"/>
        <v>9</v>
      </c>
      <c r="H242" s="6">
        <f t="shared" si="4"/>
        <v>0.009230769231</v>
      </c>
      <c r="I242" s="6">
        <f t="shared" si="5"/>
        <v>0.9907692308</v>
      </c>
      <c r="J242" s="1">
        <f t="shared" si="6"/>
        <v>9</v>
      </c>
      <c r="K242" s="1" t="str">
        <f t="shared" si="7"/>
        <v>Over Forecast</v>
      </c>
      <c r="L242" s="1">
        <f>F242</f>
        <v>9</v>
      </c>
      <c r="M242" s="7">
        <f t="shared" si="10"/>
        <v>92.62655602</v>
      </c>
      <c r="N242" s="7">
        <f t="shared" si="8"/>
        <v>0.09716435963</v>
      </c>
      <c r="O242" s="2" t="str">
        <f t="shared" si="9"/>
        <v>Acceptable</v>
      </c>
    </row>
    <row r="243" ht="15.75" customHeight="1">
      <c r="A243" s="1" t="s">
        <v>48</v>
      </c>
      <c r="B243" s="1" t="s">
        <v>16</v>
      </c>
      <c r="C243" s="1" t="s">
        <v>18</v>
      </c>
      <c r="D243" s="1">
        <v>1039.0</v>
      </c>
      <c r="E243" s="1">
        <v>1062.0</v>
      </c>
      <c r="F243" s="1">
        <f t="shared" si="2"/>
        <v>23</v>
      </c>
      <c r="G243" s="1">
        <f t="shared" si="3"/>
        <v>23</v>
      </c>
      <c r="H243" s="6">
        <f t="shared" si="4"/>
        <v>0.02213666987</v>
      </c>
      <c r="I243" s="6">
        <f t="shared" si="5"/>
        <v>0.9778633301</v>
      </c>
      <c r="J243" s="1">
        <f t="shared" si="6"/>
        <v>23</v>
      </c>
      <c r="K243" s="1" t="str">
        <f t="shared" si="7"/>
        <v>Over Forecast</v>
      </c>
      <c r="L243" s="1">
        <f>F243+J242</f>
        <v>32</v>
      </c>
      <c r="M243" s="7">
        <f t="shared" si="10"/>
        <v>92.33884298</v>
      </c>
      <c r="N243" s="7">
        <f t="shared" si="8"/>
        <v>0.3465497181</v>
      </c>
      <c r="O243" s="2" t="str">
        <f t="shared" si="9"/>
        <v>Acceptable</v>
      </c>
    </row>
    <row r="244" ht="15.75" customHeight="1">
      <c r="A244" s="1" t="s">
        <v>48</v>
      </c>
      <c r="B244" s="1" t="s">
        <v>16</v>
      </c>
      <c r="C244" s="1" t="s">
        <v>19</v>
      </c>
      <c r="D244" s="1">
        <v>1153.0</v>
      </c>
      <c r="E244" s="1">
        <v>1037.0</v>
      </c>
      <c r="F244" s="1">
        <f t="shared" si="2"/>
        <v>-116</v>
      </c>
      <c r="G244" s="1">
        <f t="shared" si="3"/>
        <v>116</v>
      </c>
      <c r="H244" s="6">
        <f t="shared" si="4"/>
        <v>0.1006071119</v>
      </c>
      <c r="I244" s="6">
        <f t="shared" si="5"/>
        <v>0.8993928881</v>
      </c>
      <c r="J244" s="1">
        <f t="shared" si="6"/>
        <v>-116</v>
      </c>
      <c r="K244" s="1" t="str">
        <f t="shared" si="7"/>
        <v>Under Forecast</v>
      </c>
      <c r="L244" s="1">
        <f>F244</f>
        <v>-116</v>
      </c>
      <c r="M244" s="7">
        <f t="shared" si="10"/>
        <v>92.43621399</v>
      </c>
      <c r="N244" s="7">
        <f t="shared" si="8"/>
        <v>-1.254919419</v>
      </c>
      <c r="O244" s="2" t="str">
        <f t="shared" si="9"/>
        <v>Acceptable</v>
      </c>
    </row>
    <row r="245" ht="15.75" customHeight="1">
      <c r="A245" s="1" t="s">
        <v>48</v>
      </c>
      <c r="B245" s="1" t="s">
        <v>16</v>
      </c>
      <c r="C245" s="1" t="s">
        <v>20</v>
      </c>
      <c r="D245" s="1">
        <v>1094.0</v>
      </c>
      <c r="E245" s="1">
        <v>997.0</v>
      </c>
      <c r="F245" s="1">
        <f t="shared" si="2"/>
        <v>-97</v>
      </c>
      <c r="G245" s="1">
        <f t="shared" si="3"/>
        <v>97</v>
      </c>
      <c r="H245" s="6">
        <f t="shared" si="4"/>
        <v>0.0886654479</v>
      </c>
      <c r="I245" s="6">
        <f t="shared" si="5"/>
        <v>0.9113345521</v>
      </c>
      <c r="J245" s="1">
        <f t="shared" si="6"/>
        <v>-97</v>
      </c>
      <c r="K245" s="1" t="str">
        <f t="shared" si="7"/>
        <v>Under Forecast</v>
      </c>
      <c r="L245" s="1">
        <f>F245+J244</f>
        <v>-213</v>
      </c>
      <c r="M245" s="7">
        <f t="shared" si="10"/>
        <v>92.45491803</v>
      </c>
      <c r="N245" s="7">
        <f t="shared" si="8"/>
        <v>-2.303825524</v>
      </c>
      <c r="O245" s="2" t="str">
        <f t="shared" si="9"/>
        <v>Acceptable</v>
      </c>
    </row>
    <row r="246" ht="15.75" customHeight="1">
      <c r="A246" s="1" t="s">
        <v>48</v>
      </c>
      <c r="B246" s="1" t="s">
        <v>16</v>
      </c>
      <c r="C246" s="1" t="s">
        <v>21</v>
      </c>
      <c r="D246" s="1">
        <v>1152.0</v>
      </c>
      <c r="E246" s="1">
        <v>1039.0</v>
      </c>
      <c r="F246" s="1">
        <f t="shared" si="2"/>
        <v>-113</v>
      </c>
      <c r="G246" s="1">
        <f t="shared" si="3"/>
        <v>113</v>
      </c>
      <c r="H246" s="6">
        <f t="shared" si="4"/>
        <v>0.09809027778</v>
      </c>
      <c r="I246" s="6">
        <f t="shared" si="5"/>
        <v>0.9019097222</v>
      </c>
      <c r="J246" s="1">
        <f t="shared" si="6"/>
        <v>-113</v>
      </c>
      <c r="K246" s="1" t="str">
        <f t="shared" si="7"/>
        <v>Under Forecast</v>
      </c>
      <c r="L246" s="1">
        <f>F246</f>
        <v>-113</v>
      </c>
      <c r="M246" s="7">
        <f t="shared" si="10"/>
        <v>92.53877551</v>
      </c>
      <c r="N246" s="7">
        <f t="shared" si="8"/>
        <v>-1.221109739</v>
      </c>
      <c r="O246" s="2" t="str">
        <f t="shared" si="9"/>
        <v>Acceptable</v>
      </c>
    </row>
    <row r="247" ht="15.75" customHeight="1">
      <c r="A247" s="1" t="s">
        <v>48</v>
      </c>
      <c r="B247" s="1" t="s">
        <v>16</v>
      </c>
      <c r="C247" s="1" t="s">
        <v>22</v>
      </c>
      <c r="D247" s="1">
        <v>1390.0</v>
      </c>
      <c r="E247" s="1">
        <v>1355.0</v>
      </c>
      <c r="F247" s="1">
        <f t="shared" si="2"/>
        <v>-35</v>
      </c>
      <c r="G247" s="1">
        <f t="shared" si="3"/>
        <v>35</v>
      </c>
      <c r="H247" s="6">
        <f t="shared" si="4"/>
        <v>0.02517985612</v>
      </c>
      <c r="I247" s="6">
        <f t="shared" si="5"/>
        <v>0.9748201439</v>
      </c>
      <c r="J247" s="1">
        <f t="shared" si="6"/>
        <v>-35</v>
      </c>
      <c r="K247" s="1" t="str">
        <f t="shared" si="7"/>
        <v>Under Forecast</v>
      </c>
      <c r="L247" s="1">
        <f>F247+J246</f>
        <v>-148</v>
      </c>
      <c r="M247" s="7">
        <f t="shared" si="10"/>
        <v>92.30487805</v>
      </c>
      <c r="N247" s="7">
        <f t="shared" si="8"/>
        <v>-1.603382217</v>
      </c>
      <c r="O247" s="2" t="str">
        <f t="shared" si="9"/>
        <v>Acceptable</v>
      </c>
    </row>
    <row r="248" ht="15.75" customHeight="1">
      <c r="A248" s="1" t="s">
        <v>48</v>
      </c>
      <c r="B248" s="1" t="s">
        <v>16</v>
      </c>
      <c r="C248" s="1" t="s">
        <v>23</v>
      </c>
      <c r="D248" s="1">
        <v>1473.0</v>
      </c>
      <c r="E248" s="1">
        <v>1526.0</v>
      </c>
      <c r="F248" s="1">
        <f t="shared" si="2"/>
        <v>53</v>
      </c>
      <c r="G248" s="1">
        <f t="shared" si="3"/>
        <v>53</v>
      </c>
      <c r="H248" s="6">
        <f t="shared" si="4"/>
        <v>0.03598099117</v>
      </c>
      <c r="I248" s="6">
        <f t="shared" si="5"/>
        <v>0.9640190088</v>
      </c>
      <c r="J248" s="1">
        <f t="shared" si="6"/>
        <v>53</v>
      </c>
      <c r="K248" s="1" t="str">
        <f t="shared" si="7"/>
        <v>Over Forecast</v>
      </c>
      <c r="L248" s="1">
        <f>F248</f>
        <v>53</v>
      </c>
      <c r="M248" s="7">
        <f t="shared" si="10"/>
        <v>92.14574899</v>
      </c>
      <c r="N248" s="7">
        <f t="shared" si="8"/>
        <v>0.5751757469</v>
      </c>
      <c r="O248" s="2" t="str">
        <f t="shared" si="9"/>
        <v>Acceptable</v>
      </c>
    </row>
    <row r="249" ht="15.75" customHeight="1">
      <c r="A249" s="1" t="s">
        <v>48</v>
      </c>
      <c r="B249" s="1" t="s">
        <v>16</v>
      </c>
      <c r="C249" s="1" t="s">
        <v>24</v>
      </c>
      <c r="D249" s="1">
        <v>1416.0</v>
      </c>
      <c r="E249" s="1">
        <v>1424.0</v>
      </c>
      <c r="F249" s="1">
        <f t="shared" si="2"/>
        <v>8</v>
      </c>
      <c r="G249" s="1">
        <f t="shared" si="3"/>
        <v>8</v>
      </c>
      <c r="H249" s="6">
        <f t="shared" si="4"/>
        <v>0.005649717514</v>
      </c>
      <c r="I249" s="6">
        <f t="shared" si="5"/>
        <v>0.9943502825</v>
      </c>
      <c r="J249" s="1">
        <f t="shared" si="6"/>
        <v>8</v>
      </c>
      <c r="K249" s="1" t="str">
        <f t="shared" si="7"/>
        <v>Over Forecast</v>
      </c>
      <c r="L249" s="1">
        <f>F249+J248</f>
        <v>61</v>
      </c>
      <c r="M249" s="7">
        <f t="shared" si="10"/>
        <v>91.80645161</v>
      </c>
      <c r="N249" s="7">
        <f t="shared" si="8"/>
        <v>0.6644413212</v>
      </c>
      <c r="O249" s="2" t="str">
        <f t="shared" si="9"/>
        <v>Acceptable</v>
      </c>
    </row>
    <row r="250" ht="15.75" customHeight="1">
      <c r="A250" s="1" t="s">
        <v>48</v>
      </c>
      <c r="B250" s="1" t="s">
        <v>16</v>
      </c>
      <c r="C250" s="1" t="s">
        <v>25</v>
      </c>
      <c r="D250" s="1">
        <v>1424.0</v>
      </c>
      <c r="E250" s="1">
        <v>1353.0</v>
      </c>
      <c r="F250" s="1">
        <f t="shared" si="2"/>
        <v>-71</v>
      </c>
      <c r="G250" s="1">
        <f t="shared" si="3"/>
        <v>71</v>
      </c>
      <c r="H250" s="6">
        <f t="shared" si="4"/>
        <v>0.04985955056</v>
      </c>
      <c r="I250" s="6">
        <f t="shared" si="5"/>
        <v>0.9501404494</v>
      </c>
      <c r="J250" s="1">
        <f t="shared" si="6"/>
        <v>-71</v>
      </c>
      <c r="K250" s="1" t="str">
        <f t="shared" si="7"/>
        <v>Under Forecast</v>
      </c>
      <c r="L250" s="1">
        <f>F250</f>
        <v>-71</v>
      </c>
      <c r="M250" s="7">
        <f t="shared" si="10"/>
        <v>91.72289157</v>
      </c>
      <c r="N250" s="7">
        <f t="shared" si="8"/>
        <v>-0.7740706686</v>
      </c>
      <c r="O250" s="2" t="str">
        <f t="shared" si="9"/>
        <v>Acceptable</v>
      </c>
    </row>
    <row r="251" ht="15.75" customHeight="1">
      <c r="A251" s="1" t="s">
        <v>48</v>
      </c>
      <c r="B251" s="1" t="s">
        <v>16</v>
      </c>
      <c r="C251" s="1" t="s">
        <v>26</v>
      </c>
      <c r="D251" s="1">
        <v>1296.0</v>
      </c>
      <c r="E251" s="1">
        <v>1195.0</v>
      </c>
      <c r="F251" s="1">
        <f t="shared" si="2"/>
        <v>-101</v>
      </c>
      <c r="G251" s="1">
        <f t="shared" si="3"/>
        <v>101</v>
      </c>
      <c r="H251" s="6">
        <f t="shared" si="4"/>
        <v>0.07793209877</v>
      </c>
      <c r="I251" s="6">
        <f t="shared" si="5"/>
        <v>0.9220679012</v>
      </c>
      <c r="J251" s="1">
        <f t="shared" si="6"/>
        <v>-101</v>
      </c>
      <c r="K251" s="1" t="str">
        <f t="shared" si="7"/>
        <v>Under Forecast</v>
      </c>
      <c r="L251" s="1">
        <f>F251+J250</f>
        <v>-172</v>
      </c>
      <c r="M251" s="7">
        <f t="shared" si="10"/>
        <v>91.76</v>
      </c>
      <c r="N251" s="7">
        <f t="shared" si="8"/>
        <v>-1.8744551</v>
      </c>
      <c r="O251" s="2" t="str">
        <f t="shared" si="9"/>
        <v>Acceptable</v>
      </c>
    </row>
    <row r="252" ht="15.75" customHeight="1">
      <c r="A252" s="1" t="s">
        <v>48</v>
      </c>
      <c r="B252" s="1" t="s">
        <v>16</v>
      </c>
      <c r="C252" s="1" t="s">
        <v>27</v>
      </c>
      <c r="D252" s="1">
        <v>1310.0</v>
      </c>
      <c r="E252" s="1">
        <v>1223.0</v>
      </c>
      <c r="F252" s="1">
        <f t="shared" si="2"/>
        <v>-87</v>
      </c>
      <c r="G252" s="1">
        <f t="shared" si="3"/>
        <v>87</v>
      </c>
      <c r="H252" s="6">
        <f t="shared" si="4"/>
        <v>0.06641221374</v>
      </c>
      <c r="I252" s="6">
        <f t="shared" si="5"/>
        <v>0.9335877863</v>
      </c>
      <c r="J252" s="1">
        <f t="shared" si="6"/>
        <v>-87</v>
      </c>
      <c r="K252" s="1" t="str">
        <f t="shared" si="7"/>
        <v>Under Forecast</v>
      </c>
      <c r="L252" s="1">
        <f>F252</f>
        <v>-87</v>
      </c>
      <c r="M252" s="7">
        <f t="shared" si="10"/>
        <v>91.74103586</v>
      </c>
      <c r="N252" s="7">
        <f t="shared" si="8"/>
        <v>-0.9483215356</v>
      </c>
      <c r="O252" s="2" t="str">
        <f t="shared" si="9"/>
        <v>Acceptable</v>
      </c>
    </row>
    <row r="253" ht="15.75" customHeight="1">
      <c r="A253" s="1" t="s">
        <v>48</v>
      </c>
      <c r="B253" s="1" t="s">
        <v>16</v>
      </c>
      <c r="C253" s="1" t="s">
        <v>28</v>
      </c>
      <c r="D253" s="1">
        <v>1295.0</v>
      </c>
      <c r="E253" s="1">
        <v>1334.0</v>
      </c>
      <c r="F253" s="1">
        <f t="shared" si="2"/>
        <v>39</v>
      </c>
      <c r="G253" s="1">
        <f t="shared" si="3"/>
        <v>39</v>
      </c>
      <c r="H253" s="6">
        <f t="shared" si="4"/>
        <v>0.03011583012</v>
      </c>
      <c r="I253" s="6">
        <f t="shared" si="5"/>
        <v>0.9698841699</v>
      </c>
      <c r="J253" s="1">
        <f t="shared" si="6"/>
        <v>39</v>
      </c>
      <c r="K253" s="1" t="str">
        <f t="shared" si="7"/>
        <v>Over Forecast</v>
      </c>
      <c r="L253" s="1">
        <f>F253+J252</f>
        <v>-48</v>
      </c>
      <c r="M253" s="7">
        <f t="shared" si="10"/>
        <v>91.53174603</v>
      </c>
      <c r="N253" s="7">
        <f t="shared" si="8"/>
        <v>-0.5244082199</v>
      </c>
      <c r="O253" s="2" t="str">
        <f t="shared" si="9"/>
        <v>Acceptable</v>
      </c>
    </row>
    <row r="254" ht="15.75" customHeight="1">
      <c r="A254" s="1" t="s">
        <v>49</v>
      </c>
      <c r="B254" s="1" t="s">
        <v>16</v>
      </c>
      <c r="C254" s="1" t="s">
        <v>17</v>
      </c>
      <c r="D254" s="1">
        <v>1205.0</v>
      </c>
      <c r="E254" s="1">
        <v>1190.0</v>
      </c>
      <c r="F254" s="1">
        <f t="shared" si="2"/>
        <v>-15</v>
      </c>
      <c r="G254" s="1">
        <f t="shared" si="3"/>
        <v>15</v>
      </c>
      <c r="H254" s="6">
        <f t="shared" si="4"/>
        <v>0.01244813278</v>
      </c>
      <c r="I254" s="6">
        <f t="shared" si="5"/>
        <v>0.9875518672</v>
      </c>
      <c r="J254" s="1">
        <f t="shared" si="6"/>
        <v>-15</v>
      </c>
      <c r="K254" s="1" t="str">
        <f t="shared" si="7"/>
        <v>Under Forecast</v>
      </c>
      <c r="L254" s="1">
        <f>F254</f>
        <v>-15</v>
      </c>
      <c r="M254" s="7">
        <f t="shared" si="10"/>
        <v>91.22924901</v>
      </c>
      <c r="N254" s="7">
        <f t="shared" si="8"/>
        <v>-0.1644209523</v>
      </c>
      <c r="O254" s="2" t="str">
        <f t="shared" si="9"/>
        <v>Acceptable</v>
      </c>
    </row>
    <row r="255" ht="15.75" customHeight="1">
      <c r="A255" s="1" t="s">
        <v>49</v>
      </c>
      <c r="B255" s="1" t="s">
        <v>16</v>
      </c>
      <c r="C255" s="1" t="s">
        <v>18</v>
      </c>
      <c r="D255" s="1">
        <v>1343.0</v>
      </c>
      <c r="E255" s="1">
        <v>1414.0</v>
      </c>
      <c r="F255" s="1">
        <f t="shared" si="2"/>
        <v>71</v>
      </c>
      <c r="G255" s="1">
        <f t="shared" si="3"/>
        <v>71</v>
      </c>
      <c r="H255" s="6">
        <f t="shared" si="4"/>
        <v>0.05286671631</v>
      </c>
      <c r="I255" s="6">
        <f t="shared" si="5"/>
        <v>0.9471332837</v>
      </c>
      <c r="J255" s="1">
        <f t="shared" si="6"/>
        <v>71</v>
      </c>
      <c r="K255" s="1" t="str">
        <f t="shared" si="7"/>
        <v>Over Forecast</v>
      </c>
      <c r="L255" s="1">
        <f>F255+J254</f>
        <v>56</v>
      </c>
      <c r="M255" s="7">
        <f t="shared" si="10"/>
        <v>91.1496063</v>
      </c>
      <c r="N255" s="7">
        <f t="shared" si="8"/>
        <v>0.6143745681</v>
      </c>
      <c r="O255" s="2" t="str">
        <f t="shared" si="9"/>
        <v>Acceptable</v>
      </c>
    </row>
    <row r="256" ht="15.75" customHeight="1">
      <c r="A256" s="1" t="s">
        <v>49</v>
      </c>
      <c r="B256" s="1" t="s">
        <v>16</v>
      </c>
      <c r="C256" s="1" t="s">
        <v>19</v>
      </c>
      <c r="D256" s="1">
        <v>1446.0</v>
      </c>
      <c r="E256" s="1">
        <v>1522.0</v>
      </c>
      <c r="F256" s="1">
        <f t="shared" si="2"/>
        <v>76</v>
      </c>
      <c r="G256" s="1">
        <f t="shared" si="3"/>
        <v>76</v>
      </c>
      <c r="H256" s="6">
        <f t="shared" si="4"/>
        <v>0.05255878285</v>
      </c>
      <c r="I256" s="6">
        <f t="shared" si="5"/>
        <v>0.9474412172</v>
      </c>
      <c r="J256" s="1">
        <f t="shared" si="6"/>
        <v>76</v>
      </c>
      <c r="K256" s="1" t="str">
        <f t="shared" si="7"/>
        <v>Over Forecast</v>
      </c>
      <c r="L256" s="1">
        <f>F256</f>
        <v>76</v>
      </c>
      <c r="M256" s="7">
        <f t="shared" si="10"/>
        <v>91.09019608</v>
      </c>
      <c r="N256" s="7">
        <f t="shared" si="8"/>
        <v>0.8343378681</v>
      </c>
      <c r="O256" s="2" t="str">
        <f t="shared" si="9"/>
        <v>Acceptable</v>
      </c>
    </row>
    <row r="257" ht="15.75" customHeight="1">
      <c r="A257" s="1" t="s">
        <v>49</v>
      </c>
      <c r="B257" s="1" t="s">
        <v>16</v>
      </c>
      <c r="C257" s="1" t="s">
        <v>20</v>
      </c>
      <c r="D257" s="1">
        <v>1533.0</v>
      </c>
      <c r="E257" s="1">
        <v>1622.0</v>
      </c>
      <c r="F257" s="1">
        <f t="shared" si="2"/>
        <v>89</v>
      </c>
      <c r="G257" s="1">
        <f t="shared" si="3"/>
        <v>89</v>
      </c>
      <c r="H257" s="6">
        <f t="shared" si="4"/>
        <v>0.05805609915</v>
      </c>
      <c r="I257" s="6">
        <f t="shared" si="5"/>
        <v>0.9419439008</v>
      </c>
      <c r="J257" s="1">
        <f t="shared" si="6"/>
        <v>89</v>
      </c>
      <c r="K257" s="1" t="str">
        <f t="shared" si="7"/>
        <v>Over Forecast</v>
      </c>
      <c r="L257" s="1">
        <f>F257+J256</f>
        <v>165</v>
      </c>
      <c r="M257" s="7">
        <f t="shared" si="10"/>
        <v>91.08203125</v>
      </c>
      <c r="N257" s="7">
        <f t="shared" si="8"/>
        <v>1.811553802</v>
      </c>
      <c r="O257" s="2" t="str">
        <f t="shared" si="9"/>
        <v>Acceptable</v>
      </c>
    </row>
    <row r="258" ht="15.75" customHeight="1">
      <c r="A258" s="1" t="s">
        <v>49</v>
      </c>
      <c r="B258" s="1" t="s">
        <v>16</v>
      </c>
      <c r="C258" s="1" t="s">
        <v>21</v>
      </c>
      <c r="D258" s="1">
        <v>1513.0</v>
      </c>
      <c r="E258" s="1">
        <v>1679.0</v>
      </c>
      <c r="F258" s="1">
        <f t="shared" si="2"/>
        <v>166</v>
      </c>
      <c r="G258" s="1">
        <f t="shared" si="3"/>
        <v>166</v>
      </c>
      <c r="H258" s="6">
        <f t="shared" si="4"/>
        <v>0.1097157964</v>
      </c>
      <c r="I258" s="6">
        <f t="shared" si="5"/>
        <v>0.8902842036</v>
      </c>
      <c r="J258" s="1">
        <f t="shared" si="6"/>
        <v>166</v>
      </c>
      <c r="K258" s="1" t="str">
        <f t="shared" si="7"/>
        <v>Over Forecast</v>
      </c>
      <c r="L258" s="1">
        <f>F258</f>
        <v>166</v>
      </c>
      <c r="M258" s="7">
        <f t="shared" si="10"/>
        <v>91.37354086</v>
      </c>
      <c r="N258" s="7">
        <f t="shared" si="8"/>
        <v>1.816718477</v>
      </c>
      <c r="O258" s="2" t="str">
        <f t="shared" si="9"/>
        <v>Acceptable</v>
      </c>
    </row>
    <row r="259" ht="15.75" customHeight="1">
      <c r="A259" s="1" t="s">
        <v>49</v>
      </c>
      <c r="B259" s="1" t="s">
        <v>16</v>
      </c>
      <c r="C259" s="1" t="s">
        <v>22</v>
      </c>
      <c r="D259" s="1">
        <v>1515.0</v>
      </c>
      <c r="E259" s="1">
        <v>1502.0</v>
      </c>
      <c r="F259" s="1">
        <f t="shared" si="2"/>
        <v>-13</v>
      </c>
      <c r="G259" s="1">
        <f t="shared" si="3"/>
        <v>13</v>
      </c>
      <c r="H259" s="6">
        <f t="shared" si="4"/>
        <v>0.008580858086</v>
      </c>
      <c r="I259" s="6">
        <f t="shared" si="5"/>
        <v>0.9914191419</v>
      </c>
      <c r="J259" s="1">
        <f t="shared" si="6"/>
        <v>-13</v>
      </c>
      <c r="K259" s="1" t="str">
        <f t="shared" si="7"/>
        <v>Under Forecast</v>
      </c>
      <c r="L259" s="1">
        <f>F259+J258</f>
        <v>153</v>
      </c>
      <c r="M259" s="7">
        <f t="shared" si="10"/>
        <v>91.06976744</v>
      </c>
      <c r="N259" s="7">
        <f t="shared" si="8"/>
        <v>1.680030644</v>
      </c>
      <c r="O259" s="2" t="str">
        <f t="shared" si="9"/>
        <v>Acceptable</v>
      </c>
    </row>
    <row r="260" ht="15.75" customHeight="1">
      <c r="A260" s="1" t="s">
        <v>49</v>
      </c>
      <c r="B260" s="1" t="s">
        <v>16</v>
      </c>
      <c r="C260" s="1" t="s">
        <v>23</v>
      </c>
      <c r="D260" s="1">
        <v>1446.0</v>
      </c>
      <c r="E260" s="1">
        <v>1577.0</v>
      </c>
      <c r="F260" s="1">
        <f t="shared" si="2"/>
        <v>131</v>
      </c>
      <c r="G260" s="1">
        <f t="shared" si="3"/>
        <v>131</v>
      </c>
      <c r="H260" s="6">
        <f t="shared" si="4"/>
        <v>0.09059474412</v>
      </c>
      <c r="I260" s="6">
        <f t="shared" si="5"/>
        <v>0.9094052559</v>
      </c>
      <c r="J260" s="1">
        <f t="shared" si="6"/>
        <v>131</v>
      </c>
      <c r="K260" s="1" t="str">
        <f t="shared" si="7"/>
        <v>Over Forecast</v>
      </c>
      <c r="L260" s="1">
        <f>F260</f>
        <v>131</v>
      </c>
      <c r="M260" s="7">
        <f t="shared" si="10"/>
        <v>91.22393822</v>
      </c>
      <c r="N260" s="7">
        <f t="shared" si="8"/>
        <v>1.43602658</v>
      </c>
      <c r="O260" s="2" t="str">
        <f t="shared" si="9"/>
        <v>Acceptable</v>
      </c>
    </row>
    <row r="261" ht="15.75" customHeight="1">
      <c r="A261" s="1" t="s">
        <v>49</v>
      </c>
      <c r="B261" s="1" t="s">
        <v>16</v>
      </c>
      <c r="C261" s="1" t="s">
        <v>24</v>
      </c>
      <c r="D261" s="1">
        <v>1599.0</v>
      </c>
      <c r="E261" s="1">
        <v>1731.0</v>
      </c>
      <c r="F261" s="1">
        <f t="shared" si="2"/>
        <v>132</v>
      </c>
      <c r="G261" s="1">
        <f t="shared" si="3"/>
        <v>132</v>
      </c>
      <c r="H261" s="6">
        <f t="shared" si="4"/>
        <v>0.08255159475</v>
      </c>
      <c r="I261" s="6">
        <f t="shared" si="5"/>
        <v>0.9174484053</v>
      </c>
      <c r="J261" s="1">
        <f t="shared" si="6"/>
        <v>132</v>
      </c>
      <c r="K261" s="1" t="str">
        <f t="shared" si="7"/>
        <v>Over Forecast</v>
      </c>
      <c r="L261" s="1">
        <f>F261+J260</f>
        <v>263</v>
      </c>
      <c r="M261" s="7">
        <f t="shared" si="10"/>
        <v>91.38076923</v>
      </c>
      <c r="N261" s="7">
        <f t="shared" si="8"/>
        <v>2.878067259</v>
      </c>
      <c r="O261" s="2" t="str">
        <f t="shared" si="9"/>
        <v>Acceptable</v>
      </c>
    </row>
    <row r="262" ht="15.75" customHeight="1">
      <c r="A262" s="1" t="s">
        <v>49</v>
      </c>
      <c r="B262" s="1" t="s">
        <v>16</v>
      </c>
      <c r="C262" s="1" t="s">
        <v>25</v>
      </c>
      <c r="D262" s="1">
        <v>1411.0</v>
      </c>
      <c r="E262" s="1">
        <v>1399.0</v>
      </c>
      <c r="F262" s="1">
        <f t="shared" si="2"/>
        <v>-12</v>
      </c>
      <c r="G262" s="1">
        <f t="shared" si="3"/>
        <v>12</v>
      </c>
      <c r="H262" s="6">
        <f t="shared" si="4"/>
        <v>0.008504606662</v>
      </c>
      <c r="I262" s="6">
        <f t="shared" si="5"/>
        <v>0.9914953933</v>
      </c>
      <c r="J262" s="1">
        <f t="shared" si="6"/>
        <v>-12</v>
      </c>
      <c r="K262" s="1" t="str">
        <f t="shared" si="7"/>
        <v>Under Forecast</v>
      </c>
      <c r="L262" s="1">
        <f>F262</f>
        <v>-12</v>
      </c>
      <c r="M262" s="7">
        <f t="shared" si="10"/>
        <v>91.07662835</v>
      </c>
      <c r="N262" s="7">
        <f t="shared" si="8"/>
        <v>-0.1317571831</v>
      </c>
      <c r="O262" s="2" t="str">
        <f t="shared" si="9"/>
        <v>Acceptable</v>
      </c>
    </row>
    <row r="263" ht="15.75" customHeight="1">
      <c r="A263" s="1" t="s">
        <v>49</v>
      </c>
      <c r="B263" s="1" t="s">
        <v>16</v>
      </c>
      <c r="C263" s="1" t="s">
        <v>26</v>
      </c>
      <c r="D263" s="1">
        <v>1344.0</v>
      </c>
      <c r="E263" s="1">
        <v>1379.0</v>
      </c>
      <c r="F263" s="1">
        <f t="shared" si="2"/>
        <v>35</v>
      </c>
      <c r="G263" s="1">
        <f t="shared" si="3"/>
        <v>35</v>
      </c>
      <c r="H263" s="6">
        <f t="shared" si="4"/>
        <v>0.02604166667</v>
      </c>
      <c r="I263" s="6">
        <f t="shared" si="5"/>
        <v>0.9739583333</v>
      </c>
      <c r="J263" s="1">
        <f t="shared" si="6"/>
        <v>35</v>
      </c>
      <c r="K263" s="1" t="str">
        <f t="shared" si="7"/>
        <v>Over Forecast</v>
      </c>
      <c r="L263" s="1">
        <f>F263+J262</f>
        <v>23</v>
      </c>
      <c r="M263" s="7">
        <f t="shared" si="10"/>
        <v>90.86259542</v>
      </c>
      <c r="N263" s="7">
        <f t="shared" si="8"/>
        <v>0.2531294632</v>
      </c>
      <c r="O263" s="2" t="str">
        <f t="shared" si="9"/>
        <v>Acceptable</v>
      </c>
    </row>
    <row r="264" ht="15.75" customHeight="1">
      <c r="A264" s="1" t="s">
        <v>49</v>
      </c>
      <c r="B264" s="1" t="s">
        <v>16</v>
      </c>
      <c r="C264" s="1" t="s">
        <v>27</v>
      </c>
      <c r="D264" s="1">
        <v>1507.0</v>
      </c>
      <c r="E264" s="1">
        <v>1556.0</v>
      </c>
      <c r="F264" s="1">
        <f t="shared" si="2"/>
        <v>49</v>
      </c>
      <c r="G264" s="1">
        <f t="shared" si="3"/>
        <v>49</v>
      </c>
      <c r="H264" s="6">
        <f t="shared" si="4"/>
        <v>0.03251493033</v>
      </c>
      <c r="I264" s="6">
        <f t="shared" si="5"/>
        <v>0.9674850697</v>
      </c>
      <c r="J264" s="1">
        <f t="shared" si="6"/>
        <v>49</v>
      </c>
      <c r="K264" s="1" t="str">
        <f t="shared" si="7"/>
        <v>Over Forecast</v>
      </c>
      <c r="L264" s="1">
        <f>F264</f>
        <v>49</v>
      </c>
      <c r="M264" s="7">
        <f t="shared" si="10"/>
        <v>90.70342205</v>
      </c>
      <c r="N264" s="7">
        <f t="shared" si="8"/>
        <v>0.5402221756</v>
      </c>
      <c r="O264" s="2" t="str">
        <f t="shared" si="9"/>
        <v>Acceptable</v>
      </c>
    </row>
    <row r="265" ht="15.75" customHeight="1">
      <c r="A265" s="1" t="s">
        <v>49</v>
      </c>
      <c r="B265" s="1" t="s">
        <v>16</v>
      </c>
      <c r="C265" s="1" t="s">
        <v>28</v>
      </c>
      <c r="D265" s="1">
        <v>1438.0</v>
      </c>
      <c r="E265" s="1">
        <v>1602.0</v>
      </c>
      <c r="F265" s="1">
        <f t="shared" si="2"/>
        <v>164</v>
      </c>
      <c r="G265" s="1">
        <f t="shared" si="3"/>
        <v>164</v>
      </c>
      <c r="H265" s="6">
        <f t="shared" si="4"/>
        <v>0.1140472879</v>
      </c>
      <c r="I265" s="6">
        <f t="shared" si="5"/>
        <v>0.8859527121</v>
      </c>
      <c r="J265" s="1">
        <f t="shared" si="6"/>
        <v>164</v>
      </c>
      <c r="K265" s="1" t="str">
        <f t="shared" si="7"/>
        <v>Over Forecast</v>
      </c>
      <c r="L265" s="1">
        <f>F265+J264</f>
        <v>213</v>
      </c>
      <c r="M265" s="7">
        <f t="shared" si="10"/>
        <v>90.98106061</v>
      </c>
      <c r="N265" s="7">
        <f t="shared" si="8"/>
        <v>2.341146592</v>
      </c>
      <c r="O265" s="2" t="str">
        <f t="shared" si="9"/>
        <v>Acceptable</v>
      </c>
    </row>
    <row r="266" ht="15.75" customHeight="1">
      <c r="A266" s="1" t="s">
        <v>50</v>
      </c>
      <c r="B266" s="1" t="s">
        <v>16</v>
      </c>
      <c r="C266" s="1" t="s">
        <v>17</v>
      </c>
      <c r="D266" s="1">
        <v>1063.0</v>
      </c>
      <c r="E266" s="1">
        <v>1077.0</v>
      </c>
      <c r="F266" s="1">
        <f t="shared" si="2"/>
        <v>14</v>
      </c>
      <c r="G266" s="1">
        <f t="shared" si="3"/>
        <v>14</v>
      </c>
      <c r="H266" s="6">
        <f t="shared" si="4"/>
        <v>0.01317027281</v>
      </c>
      <c r="I266" s="6">
        <f t="shared" si="5"/>
        <v>0.9868297272</v>
      </c>
      <c r="J266" s="1">
        <f t="shared" si="6"/>
        <v>14</v>
      </c>
      <c r="K266" s="1" t="str">
        <f t="shared" si="7"/>
        <v>Over Forecast</v>
      </c>
      <c r="L266" s="1">
        <f>F266</f>
        <v>14</v>
      </c>
      <c r="M266" s="7">
        <f t="shared" si="10"/>
        <v>90.69056604</v>
      </c>
      <c r="N266" s="7">
        <f t="shared" si="8"/>
        <v>0.1543710731</v>
      </c>
      <c r="O266" s="2" t="str">
        <f t="shared" si="9"/>
        <v>Acceptable</v>
      </c>
    </row>
    <row r="267" ht="15.75" customHeight="1">
      <c r="A267" s="1" t="s">
        <v>50</v>
      </c>
      <c r="B267" s="1" t="s">
        <v>16</v>
      </c>
      <c r="C267" s="1" t="s">
        <v>18</v>
      </c>
      <c r="D267" s="1">
        <v>1074.0</v>
      </c>
      <c r="E267" s="1">
        <v>1168.0</v>
      </c>
      <c r="F267" s="1">
        <f t="shared" si="2"/>
        <v>94</v>
      </c>
      <c r="G267" s="1">
        <f t="shared" si="3"/>
        <v>94</v>
      </c>
      <c r="H267" s="6">
        <f t="shared" si="4"/>
        <v>0.08752327747</v>
      </c>
      <c r="I267" s="6">
        <f t="shared" si="5"/>
        <v>0.9124767225</v>
      </c>
      <c r="J267" s="1">
        <f t="shared" si="6"/>
        <v>94</v>
      </c>
      <c r="K267" s="1" t="str">
        <f t="shared" si="7"/>
        <v>Over Forecast</v>
      </c>
      <c r="L267" s="1">
        <f>F267+J266</f>
        <v>108</v>
      </c>
      <c r="M267" s="7">
        <f t="shared" si="10"/>
        <v>90.70300752</v>
      </c>
      <c r="N267" s="7">
        <f t="shared" si="8"/>
        <v>1.190699217</v>
      </c>
      <c r="O267" s="2" t="str">
        <f t="shared" si="9"/>
        <v>Acceptable</v>
      </c>
    </row>
    <row r="268" ht="15.75" customHeight="1">
      <c r="A268" s="1" t="s">
        <v>50</v>
      </c>
      <c r="B268" s="1" t="s">
        <v>16</v>
      </c>
      <c r="C268" s="1" t="s">
        <v>19</v>
      </c>
      <c r="D268" s="1">
        <v>1202.0</v>
      </c>
      <c r="E268" s="1">
        <v>1170.0</v>
      </c>
      <c r="F268" s="1">
        <f t="shared" si="2"/>
        <v>-32</v>
      </c>
      <c r="G268" s="1">
        <f t="shared" si="3"/>
        <v>32</v>
      </c>
      <c r="H268" s="6">
        <f t="shared" si="4"/>
        <v>0.02662229617</v>
      </c>
      <c r="I268" s="6">
        <f t="shared" si="5"/>
        <v>0.9733777038</v>
      </c>
      <c r="J268" s="1">
        <f t="shared" si="6"/>
        <v>-32</v>
      </c>
      <c r="K268" s="1" t="str">
        <f t="shared" si="7"/>
        <v>Under Forecast</v>
      </c>
      <c r="L268" s="1">
        <f>F268</f>
        <v>-32</v>
      </c>
      <c r="M268" s="7">
        <f t="shared" si="10"/>
        <v>90.48314607</v>
      </c>
      <c r="N268" s="7">
        <f t="shared" si="8"/>
        <v>-0.3536570222</v>
      </c>
      <c r="O268" s="2" t="str">
        <f t="shared" si="9"/>
        <v>Acceptable</v>
      </c>
    </row>
    <row r="269" ht="15.75" customHeight="1">
      <c r="A269" s="1" t="s">
        <v>50</v>
      </c>
      <c r="B269" s="1" t="s">
        <v>16</v>
      </c>
      <c r="C269" s="1" t="s">
        <v>20</v>
      </c>
      <c r="D269" s="1">
        <v>1245.0</v>
      </c>
      <c r="E269" s="1">
        <v>1280.0</v>
      </c>
      <c r="F269" s="1">
        <f t="shared" si="2"/>
        <v>35</v>
      </c>
      <c r="G269" s="1">
        <f t="shared" si="3"/>
        <v>35</v>
      </c>
      <c r="H269" s="6">
        <f t="shared" si="4"/>
        <v>0.0281124498</v>
      </c>
      <c r="I269" s="6">
        <f t="shared" si="5"/>
        <v>0.9718875502</v>
      </c>
      <c r="J269" s="1">
        <f t="shared" si="6"/>
        <v>35</v>
      </c>
      <c r="K269" s="1" t="str">
        <f t="shared" si="7"/>
        <v>Over Forecast</v>
      </c>
      <c r="L269" s="1">
        <f>F269+J268</f>
        <v>3</v>
      </c>
      <c r="M269" s="7">
        <f t="shared" si="10"/>
        <v>90.2761194</v>
      </c>
      <c r="N269" s="7">
        <f t="shared" si="8"/>
        <v>0.03323137968</v>
      </c>
      <c r="O269" s="2" t="str">
        <f t="shared" si="9"/>
        <v>Acceptable</v>
      </c>
    </row>
    <row r="270" ht="15.75" customHeight="1">
      <c r="A270" s="1" t="s">
        <v>50</v>
      </c>
      <c r="B270" s="1" t="s">
        <v>16</v>
      </c>
      <c r="C270" s="1" t="s">
        <v>21</v>
      </c>
      <c r="D270" s="1">
        <v>1135.0</v>
      </c>
      <c r="E270" s="1">
        <v>1161.0</v>
      </c>
      <c r="F270" s="1">
        <f t="shared" si="2"/>
        <v>26</v>
      </c>
      <c r="G270" s="1">
        <f t="shared" si="3"/>
        <v>26</v>
      </c>
      <c r="H270" s="6">
        <f t="shared" si="4"/>
        <v>0.02290748899</v>
      </c>
      <c r="I270" s="6">
        <f t="shared" si="5"/>
        <v>0.977092511</v>
      </c>
      <c r="J270" s="1">
        <f t="shared" si="6"/>
        <v>26</v>
      </c>
      <c r="K270" s="1" t="str">
        <f t="shared" si="7"/>
        <v>Over Forecast</v>
      </c>
      <c r="L270" s="1">
        <f>F270</f>
        <v>26</v>
      </c>
      <c r="M270" s="7">
        <f t="shared" si="10"/>
        <v>90.03717472</v>
      </c>
      <c r="N270" s="7">
        <f t="shared" si="8"/>
        <v>0.2887696119</v>
      </c>
      <c r="O270" s="2" t="str">
        <f t="shared" si="9"/>
        <v>Acceptable</v>
      </c>
    </row>
    <row r="271" ht="15.75" customHeight="1">
      <c r="A271" s="1" t="s">
        <v>50</v>
      </c>
      <c r="B271" s="1" t="s">
        <v>16</v>
      </c>
      <c r="C271" s="1" t="s">
        <v>22</v>
      </c>
      <c r="D271" s="1">
        <v>1345.0</v>
      </c>
      <c r="E271" s="1">
        <v>1383.0</v>
      </c>
      <c r="F271" s="1">
        <f t="shared" si="2"/>
        <v>38</v>
      </c>
      <c r="G271" s="1">
        <f t="shared" si="3"/>
        <v>38</v>
      </c>
      <c r="H271" s="6">
        <f t="shared" si="4"/>
        <v>0.0282527881</v>
      </c>
      <c r="I271" s="6">
        <f t="shared" si="5"/>
        <v>0.9717472119</v>
      </c>
      <c r="J271" s="1">
        <f t="shared" si="6"/>
        <v>38</v>
      </c>
      <c r="K271" s="1" t="str">
        <f t="shared" si="7"/>
        <v>Over Forecast</v>
      </c>
      <c r="L271" s="1">
        <f>F271+J270</f>
        <v>64</v>
      </c>
      <c r="M271" s="7">
        <f t="shared" si="10"/>
        <v>89.84444444</v>
      </c>
      <c r="N271" s="7">
        <f t="shared" si="8"/>
        <v>0.7123423201</v>
      </c>
      <c r="O271" s="2" t="str">
        <f t="shared" si="9"/>
        <v>Acceptable</v>
      </c>
    </row>
    <row r="272" ht="15.75" customHeight="1">
      <c r="A272" s="1" t="s">
        <v>50</v>
      </c>
      <c r="B272" s="1" t="s">
        <v>16</v>
      </c>
      <c r="C272" s="1" t="s">
        <v>23</v>
      </c>
      <c r="D272" s="1">
        <v>1220.0</v>
      </c>
      <c r="E272" s="1">
        <v>1282.0</v>
      </c>
      <c r="F272" s="1">
        <f t="shared" si="2"/>
        <v>62</v>
      </c>
      <c r="G272" s="1">
        <f t="shared" si="3"/>
        <v>62</v>
      </c>
      <c r="H272" s="6">
        <f t="shared" si="4"/>
        <v>0.05081967213</v>
      </c>
      <c r="I272" s="6">
        <f t="shared" si="5"/>
        <v>0.9491803279</v>
      </c>
      <c r="J272" s="1">
        <f t="shared" si="6"/>
        <v>62</v>
      </c>
      <c r="K272" s="1" t="str">
        <f t="shared" si="7"/>
        <v>Over Forecast</v>
      </c>
      <c r="L272" s="1">
        <f>F272</f>
        <v>62</v>
      </c>
      <c r="M272" s="7">
        <f t="shared" si="10"/>
        <v>89.74169742</v>
      </c>
      <c r="N272" s="7">
        <f t="shared" si="8"/>
        <v>0.6908717105</v>
      </c>
      <c r="O272" s="2" t="str">
        <f t="shared" si="9"/>
        <v>Acceptable</v>
      </c>
    </row>
    <row r="273" ht="15.75" customHeight="1">
      <c r="A273" s="1" t="s">
        <v>50</v>
      </c>
      <c r="B273" s="1" t="s">
        <v>16</v>
      </c>
      <c r="C273" s="1" t="s">
        <v>24</v>
      </c>
      <c r="D273" s="1">
        <v>1167.0</v>
      </c>
      <c r="E273" s="1">
        <v>1122.0</v>
      </c>
      <c r="F273" s="1">
        <f t="shared" si="2"/>
        <v>-45</v>
      </c>
      <c r="G273" s="1">
        <f t="shared" si="3"/>
        <v>45</v>
      </c>
      <c r="H273" s="6">
        <f t="shared" si="4"/>
        <v>0.03856041131</v>
      </c>
      <c r="I273" s="6">
        <f t="shared" si="5"/>
        <v>0.9614395887</v>
      </c>
      <c r="J273" s="1">
        <f t="shared" si="6"/>
        <v>-45</v>
      </c>
      <c r="K273" s="1" t="str">
        <f t="shared" si="7"/>
        <v>Under Forecast</v>
      </c>
      <c r="L273" s="1">
        <f>F273+J272</f>
        <v>17</v>
      </c>
      <c r="M273" s="7">
        <f t="shared" si="10"/>
        <v>89.57720588</v>
      </c>
      <c r="N273" s="7">
        <f t="shared" si="8"/>
        <v>0.1897804227</v>
      </c>
      <c r="O273" s="2" t="str">
        <f t="shared" si="9"/>
        <v>Acceptable</v>
      </c>
    </row>
    <row r="274" ht="15.75" customHeight="1">
      <c r="A274" s="1" t="s">
        <v>50</v>
      </c>
      <c r="B274" s="1" t="s">
        <v>16</v>
      </c>
      <c r="C274" s="1" t="s">
        <v>25</v>
      </c>
      <c r="D274" s="1">
        <v>1087.0</v>
      </c>
      <c r="E274" s="1">
        <v>1054.0</v>
      </c>
      <c r="F274" s="1">
        <f t="shared" si="2"/>
        <v>-33</v>
      </c>
      <c r="G274" s="1">
        <f t="shared" si="3"/>
        <v>33</v>
      </c>
      <c r="H274" s="6">
        <f t="shared" si="4"/>
        <v>0.03035878565</v>
      </c>
      <c r="I274" s="6">
        <f t="shared" si="5"/>
        <v>0.9696412144</v>
      </c>
      <c r="J274" s="1">
        <f t="shared" si="6"/>
        <v>-33</v>
      </c>
      <c r="K274" s="1" t="str">
        <f t="shared" si="7"/>
        <v>Under Forecast</v>
      </c>
      <c r="L274" s="1">
        <f>F274</f>
        <v>-33</v>
      </c>
      <c r="M274" s="7">
        <f t="shared" si="10"/>
        <v>89.36996337</v>
      </c>
      <c r="N274" s="7">
        <f t="shared" si="8"/>
        <v>-0.369251578</v>
      </c>
      <c r="O274" s="2" t="str">
        <f t="shared" si="9"/>
        <v>Acceptable</v>
      </c>
    </row>
    <row r="275" ht="15.75" customHeight="1">
      <c r="A275" s="1" t="s">
        <v>50</v>
      </c>
      <c r="B275" s="1" t="s">
        <v>16</v>
      </c>
      <c r="C275" s="1" t="s">
        <v>26</v>
      </c>
      <c r="D275" s="1">
        <v>1083.0</v>
      </c>
      <c r="E275" s="1">
        <v>1052.0</v>
      </c>
      <c r="F275" s="1">
        <f t="shared" si="2"/>
        <v>-31</v>
      </c>
      <c r="G275" s="1">
        <f t="shared" si="3"/>
        <v>31</v>
      </c>
      <c r="H275" s="6">
        <f t="shared" si="4"/>
        <v>0.02862419206</v>
      </c>
      <c r="I275" s="6">
        <f t="shared" si="5"/>
        <v>0.9713758079</v>
      </c>
      <c r="J275" s="1">
        <f t="shared" si="6"/>
        <v>-31</v>
      </c>
      <c r="K275" s="1" t="str">
        <f t="shared" si="7"/>
        <v>Under Forecast</v>
      </c>
      <c r="L275" s="1">
        <f>F275+J274</f>
        <v>-64</v>
      </c>
      <c r="M275" s="7">
        <f t="shared" si="10"/>
        <v>89.15693431</v>
      </c>
      <c r="N275" s="7">
        <f t="shared" si="8"/>
        <v>-0.7178353596</v>
      </c>
      <c r="O275" s="2" t="str">
        <f t="shared" si="9"/>
        <v>Acceptable</v>
      </c>
    </row>
    <row r="276" ht="15.75" customHeight="1">
      <c r="A276" s="1" t="s">
        <v>50</v>
      </c>
      <c r="B276" s="1" t="s">
        <v>16</v>
      </c>
      <c r="C276" s="1" t="s">
        <v>27</v>
      </c>
      <c r="D276" s="1">
        <v>1185.0</v>
      </c>
      <c r="E276" s="1">
        <v>1160.0</v>
      </c>
      <c r="F276" s="1">
        <f t="shared" si="2"/>
        <v>-25</v>
      </c>
      <c r="G276" s="1">
        <f t="shared" si="3"/>
        <v>25</v>
      </c>
      <c r="H276" s="6">
        <f t="shared" si="4"/>
        <v>0.02109704641</v>
      </c>
      <c r="I276" s="6">
        <f t="shared" si="5"/>
        <v>0.9789029536</v>
      </c>
      <c r="J276" s="1">
        <f t="shared" si="6"/>
        <v>-25</v>
      </c>
      <c r="K276" s="1" t="str">
        <f t="shared" si="7"/>
        <v>Under Forecast</v>
      </c>
      <c r="L276" s="1">
        <f>F276</f>
        <v>-25</v>
      </c>
      <c r="M276" s="7">
        <f t="shared" si="10"/>
        <v>88.92363636</v>
      </c>
      <c r="N276" s="7">
        <f t="shared" si="8"/>
        <v>-0.2811400998</v>
      </c>
      <c r="O276" s="2" t="str">
        <f t="shared" si="9"/>
        <v>Acceptable</v>
      </c>
    </row>
    <row r="277" ht="15.75" customHeight="1">
      <c r="A277" s="1" t="s">
        <v>50</v>
      </c>
      <c r="B277" s="1" t="s">
        <v>16</v>
      </c>
      <c r="C277" s="1" t="s">
        <v>28</v>
      </c>
      <c r="D277" s="1">
        <v>1094.0</v>
      </c>
      <c r="E277" s="1">
        <v>1196.0</v>
      </c>
      <c r="F277" s="1">
        <f t="shared" si="2"/>
        <v>102</v>
      </c>
      <c r="G277" s="1">
        <f t="shared" si="3"/>
        <v>102</v>
      </c>
      <c r="H277" s="6">
        <f t="shared" si="4"/>
        <v>0.09323583181</v>
      </c>
      <c r="I277" s="6">
        <f t="shared" si="5"/>
        <v>0.9067641682</v>
      </c>
      <c r="J277" s="1">
        <f t="shared" si="6"/>
        <v>102</v>
      </c>
      <c r="K277" s="1" t="str">
        <f t="shared" si="7"/>
        <v>Over Forecast</v>
      </c>
      <c r="L277" s="1">
        <f>F277+J276</f>
        <v>77</v>
      </c>
      <c r="M277" s="7">
        <f t="shared" si="10"/>
        <v>88.97101449</v>
      </c>
      <c r="N277" s="7">
        <f t="shared" si="8"/>
        <v>0.8654503991</v>
      </c>
      <c r="O277" s="2" t="str">
        <f t="shared" si="9"/>
        <v>Acceptable</v>
      </c>
    </row>
    <row r="278" ht="15.75" customHeight="1">
      <c r="A278" s="1" t="s">
        <v>51</v>
      </c>
      <c r="B278" s="1" t="s">
        <v>16</v>
      </c>
      <c r="C278" s="1" t="s">
        <v>17</v>
      </c>
      <c r="D278" s="1">
        <v>1323.0</v>
      </c>
      <c r="E278" s="1">
        <v>1218.0</v>
      </c>
      <c r="F278" s="1">
        <f t="shared" si="2"/>
        <v>-105</v>
      </c>
      <c r="G278" s="1">
        <f t="shared" si="3"/>
        <v>105</v>
      </c>
      <c r="H278" s="6">
        <f t="shared" si="4"/>
        <v>0.07936507937</v>
      </c>
      <c r="I278" s="6">
        <f t="shared" si="5"/>
        <v>0.9206349206</v>
      </c>
      <c r="J278" s="1">
        <f t="shared" si="6"/>
        <v>-105</v>
      </c>
      <c r="K278" s="1" t="str">
        <f t="shared" si="7"/>
        <v>Under Forecast</v>
      </c>
      <c r="L278" s="1">
        <f>F278</f>
        <v>-105</v>
      </c>
      <c r="M278" s="7">
        <f t="shared" si="10"/>
        <v>89.02888087</v>
      </c>
      <c r="N278" s="7">
        <f t="shared" si="8"/>
        <v>-1.179392563</v>
      </c>
      <c r="O278" s="2" t="str">
        <f t="shared" si="9"/>
        <v>Acceptable</v>
      </c>
    </row>
    <row r="279" ht="15.75" customHeight="1">
      <c r="A279" s="1" t="s">
        <v>51</v>
      </c>
      <c r="B279" s="1" t="s">
        <v>16</v>
      </c>
      <c r="C279" s="1" t="s">
        <v>18</v>
      </c>
      <c r="D279" s="1">
        <v>1348.0</v>
      </c>
      <c r="E279" s="1">
        <v>1236.0</v>
      </c>
      <c r="F279" s="1">
        <f t="shared" si="2"/>
        <v>-112</v>
      </c>
      <c r="G279" s="1">
        <f t="shared" si="3"/>
        <v>112</v>
      </c>
      <c r="H279" s="6">
        <f t="shared" si="4"/>
        <v>0.08308605341</v>
      </c>
      <c r="I279" s="6">
        <f t="shared" si="5"/>
        <v>0.9169139466</v>
      </c>
      <c r="J279" s="1">
        <f t="shared" si="6"/>
        <v>-112</v>
      </c>
      <c r="K279" s="1" t="str">
        <f t="shared" si="7"/>
        <v>Under Forecast</v>
      </c>
      <c r="L279" s="1">
        <f>F279+J278</f>
        <v>-217</v>
      </c>
      <c r="M279" s="7">
        <f t="shared" si="10"/>
        <v>89.11151079</v>
      </c>
      <c r="N279" s="7">
        <f t="shared" si="8"/>
        <v>-2.435151173</v>
      </c>
      <c r="O279" s="2" t="str">
        <f t="shared" si="9"/>
        <v>Acceptable</v>
      </c>
    </row>
    <row r="280" ht="15.75" customHeight="1">
      <c r="A280" s="1" t="s">
        <v>51</v>
      </c>
      <c r="B280" s="1" t="s">
        <v>16</v>
      </c>
      <c r="C280" s="1" t="s">
        <v>19</v>
      </c>
      <c r="D280" s="1">
        <v>1501.0</v>
      </c>
      <c r="E280" s="1">
        <v>1378.0</v>
      </c>
      <c r="F280" s="1">
        <f t="shared" si="2"/>
        <v>-123</v>
      </c>
      <c r="G280" s="1">
        <f t="shared" si="3"/>
        <v>123</v>
      </c>
      <c r="H280" s="6">
        <f t="shared" si="4"/>
        <v>0.08194536975</v>
      </c>
      <c r="I280" s="6">
        <f t="shared" si="5"/>
        <v>0.9180546302</v>
      </c>
      <c r="J280" s="1">
        <f t="shared" si="6"/>
        <v>-123</v>
      </c>
      <c r="K280" s="1" t="str">
        <f t="shared" si="7"/>
        <v>Under Forecast</v>
      </c>
      <c r="L280" s="1">
        <f>F280</f>
        <v>-123</v>
      </c>
      <c r="M280" s="7">
        <f t="shared" si="10"/>
        <v>89.23297491</v>
      </c>
      <c r="N280" s="7">
        <f t="shared" si="8"/>
        <v>-1.378414203</v>
      </c>
      <c r="O280" s="2" t="str">
        <f t="shared" si="9"/>
        <v>Acceptable</v>
      </c>
    </row>
    <row r="281" ht="15.75" customHeight="1">
      <c r="A281" s="1" t="s">
        <v>51</v>
      </c>
      <c r="B281" s="1" t="s">
        <v>16</v>
      </c>
      <c r="C281" s="1" t="s">
        <v>20</v>
      </c>
      <c r="D281" s="1">
        <v>1509.0</v>
      </c>
      <c r="E281" s="1">
        <v>1372.0</v>
      </c>
      <c r="F281" s="1">
        <f t="shared" si="2"/>
        <v>-137</v>
      </c>
      <c r="G281" s="1">
        <f t="shared" si="3"/>
        <v>137</v>
      </c>
      <c r="H281" s="6">
        <f t="shared" si="4"/>
        <v>0.09078860172</v>
      </c>
      <c r="I281" s="6">
        <f t="shared" si="5"/>
        <v>0.9092113983</v>
      </c>
      <c r="J281" s="1">
        <f t="shared" si="6"/>
        <v>-137</v>
      </c>
      <c r="K281" s="1" t="str">
        <f t="shared" si="7"/>
        <v>Under Forecast</v>
      </c>
      <c r="L281" s="1">
        <f>F281+J280</f>
        <v>-260</v>
      </c>
      <c r="M281" s="7">
        <f t="shared" si="10"/>
        <v>89.40357143</v>
      </c>
      <c r="N281" s="7">
        <f t="shared" si="8"/>
        <v>-2.908161227</v>
      </c>
      <c r="O281" s="2" t="str">
        <f t="shared" si="9"/>
        <v>Acceptable</v>
      </c>
    </row>
    <row r="282" ht="15.75" customHeight="1">
      <c r="A282" s="1" t="s">
        <v>51</v>
      </c>
      <c r="B282" s="1" t="s">
        <v>16</v>
      </c>
      <c r="C282" s="1" t="s">
        <v>21</v>
      </c>
      <c r="D282" s="1">
        <v>1706.0</v>
      </c>
      <c r="E282" s="1">
        <v>1574.0</v>
      </c>
      <c r="F282" s="1">
        <f t="shared" si="2"/>
        <v>-132</v>
      </c>
      <c r="G282" s="1">
        <f t="shared" si="3"/>
        <v>132</v>
      </c>
      <c r="H282" s="6">
        <f t="shared" si="4"/>
        <v>0.07737397421</v>
      </c>
      <c r="I282" s="6">
        <f t="shared" si="5"/>
        <v>0.9226260258</v>
      </c>
      <c r="J282" s="1">
        <f t="shared" si="6"/>
        <v>-132</v>
      </c>
      <c r="K282" s="1" t="str">
        <f t="shared" si="7"/>
        <v>Under Forecast</v>
      </c>
      <c r="L282" s="1">
        <f>F282</f>
        <v>-132</v>
      </c>
      <c r="M282" s="7">
        <f t="shared" si="10"/>
        <v>89.55516014</v>
      </c>
      <c r="N282" s="7">
        <f t="shared" si="8"/>
        <v>-1.473951917</v>
      </c>
      <c r="O282" s="2" t="str">
        <f t="shared" si="9"/>
        <v>Acceptable</v>
      </c>
    </row>
    <row r="283" ht="15.75" customHeight="1">
      <c r="A283" s="1" t="s">
        <v>51</v>
      </c>
      <c r="B283" s="1" t="s">
        <v>16</v>
      </c>
      <c r="C283" s="1" t="s">
        <v>22</v>
      </c>
      <c r="D283" s="1">
        <v>1732.0</v>
      </c>
      <c r="E283" s="1">
        <v>1680.0</v>
      </c>
      <c r="F283" s="1">
        <f t="shared" si="2"/>
        <v>-52</v>
      </c>
      <c r="G283" s="1">
        <f t="shared" si="3"/>
        <v>52</v>
      </c>
      <c r="H283" s="6">
        <f t="shared" si="4"/>
        <v>0.03002309469</v>
      </c>
      <c r="I283" s="6">
        <f t="shared" si="5"/>
        <v>0.9699769053</v>
      </c>
      <c r="J283" s="1">
        <f t="shared" si="6"/>
        <v>-52</v>
      </c>
      <c r="K283" s="1" t="str">
        <f t="shared" si="7"/>
        <v>Under Forecast</v>
      </c>
      <c r="L283" s="1">
        <f>F283+J282</f>
        <v>-184</v>
      </c>
      <c r="M283" s="7">
        <f t="shared" si="10"/>
        <v>89.42198582</v>
      </c>
      <c r="N283" s="7">
        <f t="shared" si="8"/>
        <v>-2.057659515</v>
      </c>
      <c r="O283" s="2" t="str">
        <f t="shared" si="9"/>
        <v>Acceptable</v>
      </c>
    </row>
    <row r="284" ht="15.75" customHeight="1">
      <c r="A284" s="1" t="s">
        <v>51</v>
      </c>
      <c r="B284" s="1" t="s">
        <v>16</v>
      </c>
      <c r="C284" s="1" t="s">
        <v>23</v>
      </c>
      <c r="D284" s="1">
        <v>1913.0</v>
      </c>
      <c r="E284" s="1">
        <v>1714.0</v>
      </c>
      <c r="F284" s="1">
        <f t="shared" si="2"/>
        <v>-199</v>
      </c>
      <c r="G284" s="1">
        <f t="shared" si="3"/>
        <v>199</v>
      </c>
      <c r="H284" s="6">
        <f t="shared" si="4"/>
        <v>0.1040250915</v>
      </c>
      <c r="I284" s="6">
        <f t="shared" si="5"/>
        <v>0.8959749085</v>
      </c>
      <c r="J284" s="1">
        <f t="shared" si="6"/>
        <v>-199</v>
      </c>
      <c r="K284" s="1" t="str">
        <f t="shared" si="7"/>
        <v>Under Forecast</v>
      </c>
      <c r="L284" s="1">
        <f>F284</f>
        <v>-199</v>
      </c>
      <c r="M284" s="7">
        <f t="shared" si="10"/>
        <v>89.80918728</v>
      </c>
      <c r="N284" s="7">
        <f t="shared" si="8"/>
        <v>-2.215808939</v>
      </c>
      <c r="O284" s="2" t="str">
        <f t="shared" si="9"/>
        <v>Acceptable</v>
      </c>
    </row>
    <row r="285" ht="15.75" customHeight="1">
      <c r="A285" s="1" t="s">
        <v>51</v>
      </c>
      <c r="B285" s="1" t="s">
        <v>16</v>
      </c>
      <c r="C285" s="1" t="s">
        <v>24</v>
      </c>
      <c r="D285" s="1">
        <v>1915.0</v>
      </c>
      <c r="E285" s="1">
        <v>1896.0</v>
      </c>
      <c r="F285" s="1">
        <f t="shared" si="2"/>
        <v>-19</v>
      </c>
      <c r="G285" s="1">
        <f t="shared" si="3"/>
        <v>19</v>
      </c>
      <c r="H285" s="6">
        <f t="shared" si="4"/>
        <v>0.009921671018</v>
      </c>
      <c r="I285" s="6">
        <f t="shared" si="5"/>
        <v>0.990078329</v>
      </c>
      <c r="J285" s="1">
        <f t="shared" si="6"/>
        <v>-19</v>
      </c>
      <c r="K285" s="1" t="str">
        <f t="shared" si="7"/>
        <v>Under Forecast</v>
      </c>
      <c r="L285" s="1">
        <f>F285+J284</f>
        <v>-218</v>
      </c>
      <c r="M285" s="7">
        <f t="shared" si="10"/>
        <v>89.55985915</v>
      </c>
      <c r="N285" s="7">
        <f t="shared" si="8"/>
        <v>-2.434126204</v>
      </c>
      <c r="O285" s="2" t="str">
        <f t="shared" si="9"/>
        <v>Acceptable</v>
      </c>
    </row>
    <row r="286" ht="15.75" customHeight="1">
      <c r="A286" s="1" t="s">
        <v>51</v>
      </c>
      <c r="B286" s="1" t="s">
        <v>16</v>
      </c>
      <c r="C286" s="1" t="s">
        <v>25</v>
      </c>
      <c r="D286" s="1">
        <v>1590.0</v>
      </c>
      <c r="E286" s="1">
        <v>1637.0</v>
      </c>
      <c r="F286" s="1">
        <f t="shared" si="2"/>
        <v>47</v>
      </c>
      <c r="G286" s="1">
        <f t="shared" si="3"/>
        <v>47</v>
      </c>
      <c r="H286" s="6">
        <f t="shared" si="4"/>
        <v>0.02955974843</v>
      </c>
      <c r="I286" s="6">
        <f t="shared" si="5"/>
        <v>0.9704402516</v>
      </c>
      <c r="J286" s="1">
        <f t="shared" si="6"/>
        <v>47</v>
      </c>
      <c r="K286" s="1" t="str">
        <f t="shared" si="7"/>
        <v>Over Forecast</v>
      </c>
      <c r="L286" s="1">
        <f>F286</f>
        <v>47</v>
      </c>
      <c r="M286" s="7">
        <f t="shared" si="10"/>
        <v>89.41052632</v>
      </c>
      <c r="N286" s="7">
        <f t="shared" si="8"/>
        <v>0.5256651754</v>
      </c>
      <c r="O286" s="2" t="str">
        <f t="shared" si="9"/>
        <v>Acceptable</v>
      </c>
    </row>
    <row r="287" ht="15.75" customHeight="1">
      <c r="A287" s="1" t="s">
        <v>51</v>
      </c>
      <c r="B287" s="1" t="s">
        <v>16</v>
      </c>
      <c r="C287" s="1" t="s">
        <v>26</v>
      </c>
      <c r="D287" s="1">
        <v>1875.0</v>
      </c>
      <c r="E287" s="1">
        <v>1687.0</v>
      </c>
      <c r="F287" s="1">
        <f t="shared" si="2"/>
        <v>-188</v>
      </c>
      <c r="G287" s="1">
        <f t="shared" si="3"/>
        <v>188</v>
      </c>
      <c r="H287" s="6">
        <f t="shared" si="4"/>
        <v>0.1002666667</v>
      </c>
      <c r="I287" s="6">
        <f t="shared" si="5"/>
        <v>0.8997333333</v>
      </c>
      <c r="J287" s="1">
        <f t="shared" si="6"/>
        <v>-188</v>
      </c>
      <c r="K287" s="1" t="str">
        <f t="shared" si="7"/>
        <v>Under Forecast</v>
      </c>
      <c r="L287" s="1">
        <f>F287+J286</f>
        <v>-141</v>
      </c>
      <c r="M287" s="7">
        <f t="shared" si="10"/>
        <v>89.75524476</v>
      </c>
      <c r="N287" s="7">
        <f t="shared" si="8"/>
        <v>-1.570938839</v>
      </c>
      <c r="O287" s="2" t="str">
        <f t="shared" si="9"/>
        <v>Acceptable</v>
      </c>
    </row>
    <row r="288" ht="15.75" customHeight="1">
      <c r="A288" s="1" t="s">
        <v>51</v>
      </c>
      <c r="B288" s="1" t="s">
        <v>16</v>
      </c>
      <c r="C288" s="1" t="s">
        <v>27</v>
      </c>
      <c r="D288" s="1">
        <v>1646.0</v>
      </c>
      <c r="E288" s="1">
        <v>1677.0</v>
      </c>
      <c r="F288" s="1">
        <f t="shared" si="2"/>
        <v>31</v>
      </c>
      <c r="G288" s="1">
        <f t="shared" si="3"/>
        <v>31</v>
      </c>
      <c r="H288" s="6">
        <f t="shared" si="4"/>
        <v>0.01883353584</v>
      </c>
      <c r="I288" s="6">
        <f t="shared" si="5"/>
        <v>0.9811664642</v>
      </c>
      <c r="J288" s="1">
        <f t="shared" si="6"/>
        <v>31</v>
      </c>
      <c r="K288" s="1" t="str">
        <f t="shared" si="7"/>
        <v>Over Forecast</v>
      </c>
      <c r="L288" s="1">
        <f>F288</f>
        <v>31</v>
      </c>
      <c r="M288" s="7">
        <f t="shared" si="10"/>
        <v>89.55052265</v>
      </c>
      <c r="N288" s="7">
        <f t="shared" si="8"/>
        <v>0.3461733006</v>
      </c>
      <c r="O288" s="2" t="str">
        <f t="shared" si="9"/>
        <v>Acceptable</v>
      </c>
    </row>
    <row r="289" ht="15.75" customHeight="1">
      <c r="A289" s="1" t="s">
        <v>51</v>
      </c>
      <c r="B289" s="1" t="s">
        <v>16</v>
      </c>
      <c r="C289" s="1" t="s">
        <v>28</v>
      </c>
      <c r="D289" s="1">
        <v>1783.0</v>
      </c>
      <c r="E289" s="1">
        <v>1639.0</v>
      </c>
      <c r="F289" s="1">
        <f t="shared" si="2"/>
        <v>-144</v>
      </c>
      <c r="G289" s="1">
        <f t="shared" si="3"/>
        <v>144</v>
      </c>
      <c r="H289" s="6">
        <f t="shared" si="4"/>
        <v>0.08076275939</v>
      </c>
      <c r="I289" s="6">
        <f t="shared" si="5"/>
        <v>0.9192372406</v>
      </c>
      <c r="J289" s="1">
        <f t="shared" si="6"/>
        <v>-144</v>
      </c>
      <c r="K289" s="1" t="str">
        <f t="shared" si="7"/>
        <v>Under Forecast</v>
      </c>
      <c r="L289" s="1">
        <f>F289+J288</f>
        <v>-113</v>
      </c>
      <c r="M289" s="7">
        <f t="shared" si="10"/>
        <v>89.73958333</v>
      </c>
      <c r="N289" s="7">
        <f t="shared" si="8"/>
        <v>-1.259199071</v>
      </c>
      <c r="O289" s="2" t="str">
        <f t="shared" si="9"/>
        <v>Acceptable</v>
      </c>
    </row>
    <row r="290" ht="15.75" customHeight="1">
      <c r="A290" s="1" t="s">
        <v>52</v>
      </c>
      <c r="B290" s="1" t="s">
        <v>16</v>
      </c>
      <c r="C290" s="1" t="s">
        <v>17</v>
      </c>
      <c r="D290" s="1">
        <v>1582.0</v>
      </c>
      <c r="E290" s="1">
        <v>1562.0</v>
      </c>
      <c r="F290" s="1">
        <f t="shared" si="2"/>
        <v>-20</v>
      </c>
      <c r="G290" s="1">
        <f t="shared" si="3"/>
        <v>20</v>
      </c>
      <c r="H290" s="6">
        <f t="shared" si="4"/>
        <v>0.01264222503</v>
      </c>
      <c r="I290" s="6">
        <f t="shared" si="5"/>
        <v>0.987357775</v>
      </c>
      <c r="J290" s="1">
        <f t="shared" si="6"/>
        <v>-20</v>
      </c>
      <c r="K290" s="1" t="str">
        <f t="shared" si="7"/>
        <v>Under Forecast</v>
      </c>
      <c r="L290" s="1">
        <f>F290</f>
        <v>-20</v>
      </c>
      <c r="M290" s="7">
        <f t="shared" si="10"/>
        <v>89.4982699</v>
      </c>
      <c r="N290" s="7">
        <f t="shared" si="8"/>
        <v>-0.223468007</v>
      </c>
      <c r="O290" s="2" t="str">
        <f t="shared" si="9"/>
        <v>Acceptable</v>
      </c>
    </row>
    <row r="291" ht="15.75" customHeight="1">
      <c r="A291" s="1" t="s">
        <v>52</v>
      </c>
      <c r="B291" s="1" t="s">
        <v>16</v>
      </c>
      <c r="C291" s="1" t="s">
        <v>18</v>
      </c>
      <c r="D291" s="1">
        <v>1601.0</v>
      </c>
      <c r="E291" s="1">
        <v>1657.0</v>
      </c>
      <c r="F291" s="1">
        <f t="shared" si="2"/>
        <v>56</v>
      </c>
      <c r="G291" s="1">
        <f t="shared" si="3"/>
        <v>56</v>
      </c>
      <c r="H291" s="6">
        <f t="shared" si="4"/>
        <v>0.03497813866</v>
      </c>
      <c r="I291" s="6">
        <f t="shared" si="5"/>
        <v>0.9650218613</v>
      </c>
      <c r="J291" s="1">
        <f t="shared" si="6"/>
        <v>56</v>
      </c>
      <c r="K291" s="1" t="str">
        <f t="shared" si="7"/>
        <v>Over Forecast</v>
      </c>
      <c r="L291" s="1">
        <f>F291+J290</f>
        <v>36</v>
      </c>
      <c r="M291" s="7">
        <f t="shared" si="10"/>
        <v>89.38275862</v>
      </c>
      <c r="N291" s="7">
        <f t="shared" si="8"/>
        <v>0.4027622391</v>
      </c>
      <c r="O291" s="2" t="str">
        <f t="shared" si="9"/>
        <v>Acceptable</v>
      </c>
    </row>
    <row r="292" ht="15.75" customHeight="1">
      <c r="A292" s="1" t="s">
        <v>52</v>
      </c>
      <c r="B292" s="1" t="s">
        <v>16</v>
      </c>
      <c r="C292" s="1" t="s">
        <v>19</v>
      </c>
      <c r="D292" s="1">
        <v>1672.0</v>
      </c>
      <c r="E292" s="1">
        <v>1605.0</v>
      </c>
      <c r="F292" s="1">
        <f t="shared" si="2"/>
        <v>-67</v>
      </c>
      <c r="G292" s="1">
        <f t="shared" si="3"/>
        <v>67</v>
      </c>
      <c r="H292" s="6">
        <f t="shared" si="4"/>
        <v>0.04007177033</v>
      </c>
      <c r="I292" s="6">
        <f t="shared" si="5"/>
        <v>0.9599282297</v>
      </c>
      <c r="J292" s="1">
        <f t="shared" si="6"/>
        <v>-67</v>
      </c>
      <c r="K292" s="1" t="str">
        <f t="shared" si="7"/>
        <v>Under Forecast</v>
      </c>
      <c r="L292" s="1">
        <f>F292</f>
        <v>-67</v>
      </c>
      <c r="M292" s="7">
        <f t="shared" si="10"/>
        <v>89.30584192</v>
      </c>
      <c r="N292" s="7">
        <f t="shared" si="8"/>
        <v>-0.7502308758</v>
      </c>
      <c r="O292" s="2" t="str">
        <f t="shared" si="9"/>
        <v>Acceptable</v>
      </c>
    </row>
    <row r="293" ht="15.75" customHeight="1">
      <c r="A293" s="1" t="s">
        <v>52</v>
      </c>
      <c r="B293" s="1" t="s">
        <v>16</v>
      </c>
      <c r="C293" s="1" t="s">
        <v>20</v>
      </c>
      <c r="D293" s="1">
        <v>1550.0</v>
      </c>
      <c r="E293" s="1">
        <v>1505.0</v>
      </c>
      <c r="F293" s="1">
        <f t="shared" si="2"/>
        <v>-45</v>
      </c>
      <c r="G293" s="1">
        <f t="shared" si="3"/>
        <v>45</v>
      </c>
      <c r="H293" s="6">
        <f t="shared" si="4"/>
        <v>0.02903225806</v>
      </c>
      <c r="I293" s="6">
        <f t="shared" si="5"/>
        <v>0.9709677419</v>
      </c>
      <c r="J293" s="1">
        <f t="shared" si="6"/>
        <v>-45</v>
      </c>
      <c r="K293" s="1" t="str">
        <f t="shared" si="7"/>
        <v>Under Forecast</v>
      </c>
      <c r="L293" s="1">
        <f>F293+J292</f>
        <v>-112</v>
      </c>
      <c r="M293" s="7">
        <f t="shared" si="10"/>
        <v>89.15410959</v>
      </c>
      <c r="N293" s="7">
        <f t="shared" si="8"/>
        <v>-1.256251681</v>
      </c>
      <c r="O293" s="2" t="str">
        <f t="shared" si="9"/>
        <v>Acceptable</v>
      </c>
    </row>
    <row r="294" ht="15.75" customHeight="1">
      <c r="A294" s="1" t="s">
        <v>52</v>
      </c>
      <c r="B294" s="1" t="s">
        <v>16</v>
      </c>
      <c r="C294" s="1" t="s">
        <v>21</v>
      </c>
      <c r="D294" s="1">
        <v>1800.0</v>
      </c>
      <c r="E294" s="1">
        <v>1953.0</v>
      </c>
      <c r="F294" s="1">
        <f t="shared" si="2"/>
        <v>153</v>
      </c>
      <c r="G294" s="1">
        <f t="shared" si="3"/>
        <v>153</v>
      </c>
      <c r="H294" s="6">
        <f t="shared" si="4"/>
        <v>0.085</v>
      </c>
      <c r="I294" s="6">
        <f t="shared" si="5"/>
        <v>0.915</v>
      </c>
      <c r="J294" s="1">
        <f t="shared" si="6"/>
        <v>153</v>
      </c>
      <c r="K294" s="1" t="str">
        <f t="shared" si="7"/>
        <v>Over Forecast</v>
      </c>
      <c r="L294" s="1">
        <f>F294</f>
        <v>153</v>
      </c>
      <c r="M294" s="7">
        <f t="shared" si="10"/>
        <v>89.37201365</v>
      </c>
      <c r="N294" s="7">
        <f t="shared" si="8"/>
        <v>1.711945314</v>
      </c>
      <c r="O294" s="2" t="str">
        <f t="shared" si="9"/>
        <v>Acceptable</v>
      </c>
    </row>
    <row r="295" ht="15.75" customHeight="1">
      <c r="A295" s="1" t="s">
        <v>52</v>
      </c>
      <c r="B295" s="1" t="s">
        <v>16</v>
      </c>
      <c r="C295" s="1" t="s">
        <v>22</v>
      </c>
      <c r="D295" s="1">
        <v>1877.0</v>
      </c>
      <c r="E295" s="1">
        <v>1792.0</v>
      </c>
      <c r="F295" s="1">
        <f t="shared" si="2"/>
        <v>-85</v>
      </c>
      <c r="G295" s="1">
        <f t="shared" si="3"/>
        <v>85</v>
      </c>
      <c r="H295" s="6">
        <f t="shared" si="4"/>
        <v>0.0452850293</v>
      </c>
      <c r="I295" s="6">
        <f t="shared" si="5"/>
        <v>0.9547149707</v>
      </c>
      <c r="J295" s="1">
        <f t="shared" si="6"/>
        <v>-85</v>
      </c>
      <c r="K295" s="1" t="str">
        <f t="shared" si="7"/>
        <v>Under Forecast</v>
      </c>
      <c r="L295" s="1">
        <f>F295+J294</f>
        <v>68</v>
      </c>
      <c r="M295" s="7">
        <f t="shared" si="10"/>
        <v>89.35714286</v>
      </c>
      <c r="N295" s="7">
        <f t="shared" si="8"/>
        <v>0.760991207</v>
      </c>
      <c r="O295" s="2" t="str">
        <f t="shared" si="9"/>
        <v>Acceptable</v>
      </c>
    </row>
    <row r="296" ht="15.75" customHeight="1">
      <c r="A296" s="1" t="s">
        <v>52</v>
      </c>
      <c r="B296" s="1" t="s">
        <v>16</v>
      </c>
      <c r="C296" s="1" t="s">
        <v>23</v>
      </c>
      <c r="D296" s="1">
        <v>1976.0</v>
      </c>
      <c r="E296" s="1">
        <v>1989.0</v>
      </c>
      <c r="F296" s="1">
        <f t="shared" si="2"/>
        <v>13</v>
      </c>
      <c r="G296" s="1">
        <f t="shared" si="3"/>
        <v>13</v>
      </c>
      <c r="H296" s="6">
        <f t="shared" si="4"/>
        <v>0.006578947368</v>
      </c>
      <c r="I296" s="6">
        <f t="shared" si="5"/>
        <v>0.9934210526</v>
      </c>
      <c r="J296" s="1">
        <f t="shared" si="6"/>
        <v>13</v>
      </c>
      <c r="K296" s="1" t="str">
        <f t="shared" si="7"/>
        <v>Over Forecast</v>
      </c>
      <c r="L296" s="1">
        <f>F296</f>
        <v>13</v>
      </c>
      <c r="M296" s="7">
        <f t="shared" si="10"/>
        <v>89.09830508</v>
      </c>
      <c r="N296" s="7">
        <f t="shared" si="8"/>
        <v>0.1459062548</v>
      </c>
      <c r="O296" s="2" t="str">
        <f t="shared" si="9"/>
        <v>Acceptable</v>
      </c>
    </row>
    <row r="297" ht="15.75" customHeight="1">
      <c r="A297" s="1" t="s">
        <v>52</v>
      </c>
      <c r="B297" s="1" t="s">
        <v>16</v>
      </c>
      <c r="C297" s="1" t="s">
        <v>24</v>
      </c>
      <c r="D297" s="1">
        <v>1759.0</v>
      </c>
      <c r="E297" s="1">
        <v>1700.0</v>
      </c>
      <c r="F297" s="1">
        <f t="shared" si="2"/>
        <v>-59</v>
      </c>
      <c r="G297" s="1">
        <f t="shared" si="3"/>
        <v>59</v>
      </c>
      <c r="H297" s="6">
        <f t="shared" si="4"/>
        <v>0.03354178511</v>
      </c>
      <c r="I297" s="6">
        <f t="shared" si="5"/>
        <v>0.9664582149</v>
      </c>
      <c r="J297" s="1">
        <f t="shared" si="6"/>
        <v>-59</v>
      </c>
      <c r="K297" s="1" t="str">
        <f t="shared" si="7"/>
        <v>Under Forecast</v>
      </c>
      <c r="L297" s="1">
        <f>F297+J296</f>
        <v>-46</v>
      </c>
      <c r="M297" s="7">
        <f t="shared" si="10"/>
        <v>88.99662162</v>
      </c>
      <c r="N297" s="7">
        <f t="shared" si="8"/>
        <v>-0.5168735527</v>
      </c>
      <c r="O297" s="2" t="str">
        <f t="shared" si="9"/>
        <v>Acceptable</v>
      </c>
    </row>
    <row r="298" ht="15.75" customHeight="1">
      <c r="A298" s="1" t="s">
        <v>52</v>
      </c>
      <c r="B298" s="1" t="s">
        <v>16</v>
      </c>
      <c r="C298" s="1" t="s">
        <v>25</v>
      </c>
      <c r="D298" s="1">
        <v>1797.0</v>
      </c>
      <c r="E298" s="1">
        <v>1759.0</v>
      </c>
      <c r="F298" s="1">
        <f t="shared" si="2"/>
        <v>-38</v>
      </c>
      <c r="G298" s="1">
        <f t="shared" si="3"/>
        <v>38</v>
      </c>
      <c r="H298" s="6">
        <f t="shared" si="4"/>
        <v>0.02114635504</v>
      </c>
      <c r="I298" s="6">
        <f t="shared" si="5"/>
        <v>0.978853645</v>
      </c>
      <c r="J298" s="1">
        <f t="shared" si="6"/>
        <v>-38</v>
      </c>
      <c r="K298" s="1" t="str">
        <f t="shared" si="7"/>
        <v>Under Forecast</v>
      </c>
      <c r="L298" s="1">
        <f>F298</f>
        <v>-38</v>
      </c>
      <c r="M298" s="7">
        <f t="shared" si="10"/>
        <v>88.82491582</v>
      </c>
      <c r="N298" s="7">
        <f t="shared" si="8"/>
        <v>-0.427807892</v>
      </c>
      <c r="O298" s="2" t="str">
        <f t="shared" si="9"/>
        <v>Acceptable</v>
      </c>
    </row>
    <row r="299" ht="15.75" customHeight="1">
      <c r="A299" s="1" t="s">
        <v>52</v>
      </c>
      <c r="B299" s="1" t="s">
        <v>16</v>
      </c>
      <c r="C299" s="1" t="s">
        <v>26</v>
      </c>
      <c r="D299" s="1">
        <v>1723.0</v>
      </c>
      <c r="E299" s="1">
        <v>1868.0</v>
      </c>
      <c r="F299" s="1">
        <f t="shared" si="2"/>
        <v>145</v>
      </c>
      <c r="G299" s="1">
        <f t="shared" si="3"/>
        <v>145</v>
      </c>
      <c r="H299" s="6">
        <f t="shared" si="4"/>
        <v>0.08415554266</v>
      </c>
      <c r="I299" s="6">
        <f t="shared" si="5"/>
        <v>0.9158444573</v>
      </c>
      <c r="J299" s="1">
        <f t="shared" si="6"/>
        <v>145</v>
      </c>
      <c r="K299" s="1" t="str">
        <f t="shared" si="7"/>
        <v>Over Forecast</v>
      </c>
      <c r="L299" s="1">
        <f>F299+J298</f>
        <v>107</v>
      </c>
      <c r="M299" s="7">
        <f t="shared" si="10"/>
        <v>89.01342282</v>
      </c>
      <c r="N299" s="7">
        <f t="shared" si="8"/>
        <v>1.202065898</v>
      </c>
      <c r="O299" s="2" t="str">
        <f t="shared" si="9"/>
        <v>Acceptable</v>
      </c>
    </row>
    <row r="300" ht="15.75" customHeight="1">
      <c r="A300" s="1" t="s">
        <v>52</v>
      </c>
      <c r="B300" s="1" t="s">
        <v>16</v>
      </c>
      <c r="C300" s="1" t="s">
        <v>27</v>
      </c>
      <c r="D300" s="1">
        <v>1547.0</v>
      </c>
      <c r="E300" s="1">
        <v>1602.0</v>
      </c>
      <c r="F300" s="1">
        <f t="shared" si="2"/>
        <v>55</v>
      </c>
      <c r="G300" s="1">
        <f t="shared" si="3"/>
        <v>55</v>
      </c>
      <c r="H300" s="6">
        <f t="shared" si="4"/>
        <v>0.03555268261</v>
      </c>
      <c r="I300" s="6">
        <f t="shared" si="5"/>
        <v>0.9644473174</v>
      </c>
      <c r="J300" s="1">
        <f t="shared" si="6"/>
        <v>55</v>
      </c>
      <c r="K300" s="1" t="str">
        <f t="shared" si="7"/>
        <v>Over Forecast</v>
      </c>
      <c r="L300" s="1">
        <f>F300</f>
        <v>55</v>
      </c>
      <c r="M300" s="7">
        <f t="shared" si="10"/>
        <v>88.89966555</v>
      </c>
      <c r="N300" s="7">
        <f t="shared" si="8"/>
        <v>0.6186749934</v>
      </c>
      <c r="O300" s="2" t="str">
        <f t="shared" si="9"/>
        <v>Acceptable</v>
      </c>
    </row>
    <row r="301" ht="15.75" customHeight="1">
      <c r="A301" s="1" t="s">
        <v>52</v>
      </c>
      <c r="B301" s="1" t="s">
        <v>16</v>
      </c>
      <c r="C301" s="1" t="s">
        <v>28</v>
      </c>
      <c r="D301" s="1">
        <v>1565.0</v>
      </c>
      <c r="E301" s="1">
        <v>1572.0</v>
      </c>
      <c r="F301" s="1">
        <f t="shared" si="2"/>
        <v>7</v>
      </c>
      <c r="G301" s="1">
        <f t="shared" si="3"/>
        <v>7</v>
      </c>
      <c r="H301" s="6">
        <f t="shared" si="4"/>
        <v>0.00447284345</v>
      </c>
      <c r="I301" s="6">
        <f t="shared" si="5"/>
        <v>0.9955271565</v>
      </c>
      <c r="J301" s="1">
        <f t="shared" si="6"/>
        <v>7</v>
      </c>
      <c r="K301" s="1" t="str">
        <f t="shared" si="7"/>
        <v>Over Forecast</v>
      </c>
      <c r="L301" s="1">
        <f>F301+J300</f>
        <v>62</v>
      </c>
      <c r="M301" s="7">
        <f t="shared" si="10"/>
        <v>88.62666667</v>
      </c>
      <c r="N301" s="7">
        <f t="shared" si="8"/>
        <v>0.699563713</v>
      </c>
      <c r="O301" s="2" t="str">
        <f t="shared" si="9"/>
        <v>Acceptable</v>
      </c>
    </row>
    <row r="302" ht="15.75" customHeight="1">
      <c r="A302" s="1" t="s">
        <v>53</v>
      </c>
      <c r="B302" s="1" t="s">
        <v>16</v>
      </c>
      <c r="C302" s="1" t="s">
        <v>17</v>
      </c>
      <c r="D302" s="1">
        <v>842.0</v>
      </c>
      <c r="E302" s="1">
        <v>883.0</v>
      </c>
      <c r="F302" s="1">
        <f t="shared" si="2"/>
        <v>41</v>
      </c>
      <c r="G302" s="1">
        <f t="shared" si="3"/>
        <v>41</v>
      </c>
      <c r="H302" s="6">
        <f t="shared" si="4"/>
        <v>0.0486935867</v>
      </c>
      <c r="I302" s="6">
        <f t="shared" si="5"/>
        <v>0.9513064133</v>
      </c>
      <c r="J302" s="1">
        <f t="shared" si="6"/>
        <v>41</v>
      </c>
      <c r="K302" s="1" t="str">
        <f t="shared" si="7"/>
        <v>Over Forecast</v>
      </c>
      <c r="L302" s="1">
        <f>F302</f>
        <v>41</v>
      </c>
      <c r="M302" s="7">
        <f t="shared" si="10"/>
        <v>88.46843854</v>
      </c>
      <c r="N302" s="7">
        <f t="shared" si="8"/>
        <v>0.463442112</v>
      </c>
      <c r="O302" s="2" t="str">
        <f t="shared" si="9"/>
        <v>Acceptable</v>
      </c>
    </row>
    <row r="303" ht="15.75" customHeight="1">
      <c r="A303" s="1" t="s">
        <v>53</v>
      </c>
      <c r="B303" s="1" t="s">
        <v>16</v>
      </c>
      <c r="C303" s="1" t="s">
        <v>18</v>
      </c>
      <c r="D303" s="1">
        <v>766.0</v>
      </c>
      <c r="E303" s="1">
        <v>808.0</v>
      </c>
      <c r="F303" s="1">
        <f t="shared" si="2"/>
        <v>42</v>
      </c>
      <c r="G303" s="1">
        <f t="shared" si="3"/>
        <v>42</v>
      </c>
      <c r="H303" s="6">
        <f t="shared" si="4"/>
        <v>0.05483028721</v>
      </c>
      <c r="I303" s="6">
        <f t="shared" si="5"/>
        <v>0.9451697128</v>
      </c>
      <c r="J303" s="1">
        <f t="shared" si="6"/>
        <v>42</v>
      </c>
      <c r="K303" s="1" t="str">
        <f t="shared" si="7"/>
        <v>Over Forecast</v>
      </c>
      <c r="L303" s="1">
        <f>F303+J302</f>
        <v>83</v>
      </c>
      <c r="M303" s="7">
        <f t="shared" si="10"/>
        <v>88.31456954</v>
      </c>
      <c r="N303" s="7">
        <f t="shared" si="8"/>
        <v>0.9398222789</v>
      </c>
      <c r="O303" s="2" t="str">
        <f t="shared" si="9"/>
        <v>Acceptable</v>
      </c>
    </row>
    <row r="304" ht="15.75" customHeight="1">
      <c r="A304" s="1" t="s">
        <v>53</v>
      </c>
      <c r="B304" s="1" t="s">
        <v>16</v>
      </c>
      <c r="C304" s="1" t="s">
        <v>19</v>
      </c>
      <c r="D304" s="1">
        <v>899.0</v>
      </c>
      <c r="E304" s="1">
        <v>979.0</v>
      </c>
      <c r="F304" s="1">
        <f t="shared" si="2"/>
        <v>80</v>
      </c>
      <c r="G304" s="1">
        <f t="shared" si="3"/>
        <v>80</v>
      </c>
      <c r="H304" s="6">
        <f t="shared" si="4"/>
        <v>0.08898776418</v>
      </c>
      <c r="I304" s="6">
        <f t="shared" si="5"/>
        <v>0.9110122358</v>
      </c>
      <c r="J304" s="1">
        <f t="shared" si="6"/>
        <v>80</v>
      </c>
      <c r="K304" s="1" t="str">
        <f t="shared" si="7"/>
        <v>Over Forecast</v>
      </c>
      <c r="L304" s="1">
        <f>F304</f>
        <v>80</v>
      </c>
      <c r="M304" s="7">
        <f t="shared" si="10"/>
        <v>88.28712871</v>
      </c>
      <c r="N304" s="7">
        <f t="shared" si="8"/>
        <v>0.9061343501</v>
      </c>
      <c r="O304" s="2" t="str">
        <f t="shared" si="9"/>
        <v>Acceptable</v>
      </c>
    </row>
    <row r="305" ht="15.75" customHeight="1">
      <c r="A305" s="1" t="s">
        <v>53</v>
      </c>
      <c r="B305" s="1" t="s">
        <v>16</v>
      </c>
      <c r="C305" s="1" t="s">
        <v>20</v>
      </c>
      <c r="D305" s="1">
        <v>913.0</v>
      </c>
      <c r="E305" s="1">
        <v>904.0</v>
      </c>
      <c r="F305" s="1">
        <f t="shared" si="2"/>
        <v>-9</v>
      </c>
      <c r="G305" s="1">
        <f t="shared" si="3"/>
        <v>9</v>
      </c>
      <c r="H305" s="6">
        <f t="shared" si="4"/>
        <v>0.009857612267</v>
      </c>
      <c r="I305" s="6">
        <f t="shared" si="5"/>
        <v>0.9901423877</v>
      </c>
      <c r="J305" s="1">
        <f t="shared" si="6"/>
        <v>-9</v>
      </c>
      <c r="K305" s="1" t="str">
        <f t="shared" si="7"/>
        <v>Under Forecast</v>
      </c>
      <c r="L305" s="1">
        <f>F305+J304</f>
        <v>71</v>
      </c>
      <c r="M305" s="7">
        <f t="shared" si="10"/>
        <v>88.02631579</v>
      </c>
      <c r="N305" s="7">
        <f t="shared" si="8"/>
        <v>0.8065769806</v>
      </c>
      <c r="O305" s="2" t="str">
        <f t="shared" si="9"/>
        <v>Acceptable</v>
      </c>
    </row>
    <row r="306" ht="15.75" customHeight="1">
      <c r="A306" s="1" t="s">
        <v>53</v>
      </c>
      <c r="B306" s="1" t="s">
        <v>16</v>
      </c>
      <c r="C306" s="1" t="s">
        <v>21</v>
      </c>
      <c r="D306" s="1">
        <v>927.0</v>
      </c>
      <c r="E306" s="1">
        <v>953.0</v>
      </c>
      <c r="F306" s="1">
        <f t="shared" si="2"/>
        <v>26</v>
      </c>
      <c r="G306" s="1">
        <f t="shared" si="3"/>
        <v>26</v>
      </c>
      <c r="H306" s="6">
        <f t="shared" si="4"/>
        <v>0.02804746494</v>
      </c>
      <c r="I306" s="6">
        <f t="shared" si="5"/>
        <v>0.9719525351</v>
      </c>
      <c r="J306" s="1">
        <f t="shared" si="6"/>
        <v>26</v>
      </c>
      <c r="K306" s="1" t="str">
        <f t="shared" si="7"/>
        <v>Over Forecast</v>
      </c>
      <c r="L306" s="1">
        <f>F306</f>
        <v>26</v>
      </c>
      <c r="M306" s="7">
        <f t="shared" si="10"/>
        <v>87.82295082</v>
      </c>
      <c r="N306" s="7">
        <f t="shared" si="8"/>
        <v>0.2960501755</v>
      </c>
      <c r="O306" s="2" t="str">
        <f t="shared" si="9"/>
        <v>Acceptable</v>
      </c>
    </row>
    <row r="307" ht="15.75" customHeight="1">
      <c r="A307" s="1" t="s">
        <v>53</v>
      </c>
      <c r="B307" s="1" t="s">
        <v>16</v>
      </c>
      <c r="C307" s="1" t="s">
        <v>22</v>
      </c>
      <c r="D307" s="1">
        <v>1033.0</v>
      </c>
      <c r="E307" s="1">
        <v>1096.0</v>
      </c>
      <c r="F307" s="1">
        <f t="shared" si="2"/>
        <v>63</v>
      </c>
      <c r="G307" s="1">
        <f t="shared" si="3"/>
        <v>63</v>
      </c>
      <c r="H307" s="6">
        <f t="shared" si="4"/>
        <v>0.0609874153</v>
      </c>
      <c r="I307" s="6">
        <f t="shared" si="5"/>
        <v>0.9390125847</v>
      </c>
      <c r="J307" s="1">
        <f t="shared" si="6"/>
        <v>63</v>
      </c>
      <c r="K307" s="1" t="str">
        <f t="shared" si="7"/>
        <v>Over Forecast</v>
      </c>
      <c r="L307" s="1">
        <f>F307+J306</f>
        <v>89</v>
      </c>
      <c r="M307" s="7">
        <f t="shared" si="10"/>
        <v>87.74183007</v>
      </c>
      <c r="N307" s="7">
        <f t="shared" si="8"/>
        <v>1.014339454</v>
      </c>
      <c r="O307" s="2" t="str">
        <f t="shared" si="9"/>
        <v>Acceptable</v>
      </c>
    </row>
    <row r="308" ht="15.75" customHeight="1">
      <c r="A308" s="1" t="s">
        <v>53</v>
      </c>
      <c r="B308" s="1" t="s">
        <v>16</v>
      </c>
      <c r="C308" s="1" t="s">
        <v>23</v>
      </c>
      <c r="D308" s="1">
        <v>1009.0</v>
      </c>
      <c r="E308" s="1">
        <v>1137.0</v>
      </c>
      <c r="F308" s="1">
        <f t="shared" si="2"/>
        <v>128</v>
      </c>
      <c r="G308" s="1">
        <f t="shared" si="3"/>
        <v>128</v>
      </c>
      <c r="H308" s="6">
        <f t="shared" si="4"/>
        <v>0.1268582755</v>
      </c>
      <c r="I308" s="6">
        <f t="shared" si="5"/>
        <v>0.8731417245</v>
      </c>
      <c r="J308" s="1">
        <f t="shared" si="6"/>
        <v>128</v>
      </c>
      <c r="K308" s="1" t="str">
        <f t="shared" si="7"/>
        <v>Over Forecast</v>
      </c>
      <c r="L308" s="1">
        <f>F308</f>
        <v>128</v>
      </c>
      <c r="M308" s="7">
        <f t="shared" si="10"/>
        <v>87.87296417</v>
      </c>
      <c r="N308" s="7">
        <f t="shared" si="8"/>
        <v>1.456648256</v>
      </c>
      <c r="O308" s="2" t="str">
        <f t="shared" si="9"/>
        <v>Acceptable</v>
      </c>
    </row>
    <row r="309" ht="15.75" customHeight="1">
      <c r="A309" s="1" t="s">
        <v>53</v>
      </c>
      <c r="B309" s="1" t="s">
        <v>16</v>
      </c>
      <c r="C309" s="1" t="s">
        <v>24</v>
      </c>
      <c r="D309" s="1">
        <v>1041.0</v>
      </c>
      <c r="E309" s="1">
        <v>1049.0</v>
      </c>
      <c r="F309" s="1">
        <f t="shared" si="2"/>
        <v>8</v>
      </c>
      <c r="G309" s="1">
        <f t="shared" si="3"/>
        <v>8</v>
      </c>
      <c r="H309" s="6">
        <f t="shared" si="4"/>
        <v>0.007684918348</v>
      </c>
      <c r="I309" s="6">
        <f t="shared" si="5"/>
        <v>0.9923150817</v>
      </c>
      <c r="J309" s="1">
        <f t="shared" si="6"/>
        <v>8</v>
      </c>
      <c r="K309" s="1" t="str">
        <f t="shared" si="7"/>
        <v>Over Forecast</v>
      </c>
      <c r="L309" s="1">
        <f>F309+J308</f>
        <v>136</v>
      </c>
      <c r="M309" s="7">
        <f t="shared" si="10"/>
        <v>87.61363636</v>
      </c>
      <c r="N309" s="7">
        <f t="shared" si="8"/>
        <v>1.55226978</v>
      </c>
      <c r="O309" s="2" t="str">
        <f t="shared" si="9"/>
        <v>Acceptable</v>
      </c>
    </row>
    <row r="310" ht="15.75" customHeight="1">
      <c r="A310" s="1" t="s">
        <v>53</v>
      </c>
      <c r="B310" s="1" t="s">
        <v>16</v>
      </c>
      <c r="C310" s="1" t="s">
        <v>25</v>
      </c>
      <c r="D310" s="1">
        <v>901.0</v>
      </c>
      <c r="E310" s="1">
        <v>896.0</v>
      </c>
      <c r="F310" s="1">
        <f t="shared" si="2"/>
        <v>-5</v>
      </c>
      <c r="G310" s="1">
        <f t="shared" si="3"/>
        <v>5</v>
      </c>
      <c r="H310" s="6">
        <f t="shared" si="4"/>
        <v>0.005549389567</v>
      </c>
      <c r="I310" s="6">
        <f t="shared" si="5"/>
        <v>0.9944506104</v>
      </c>
      <c r="J310" s="1">
        <f t="shared" si="6"/>
        <v>-5</v>
      </c>
      <c r="K310" s="1" t="str">
        <f t="shared" si="7"/>
        <v>Under Forecast</v>
      </c>
      <c r="L310" s="1">
        <f>F310</f>
        <v>-5</v>
      </c>
      <c r="M310" s="7">
        <f t="shared" si="10"/>
        <v>87.34627832</v>
      </c>
      <c r="N310" s="7">
        <f t="shared" si="8"/>
        <v>-0.05724342349</v>
      </c>
      <c r="O310" s="2" t="str">
        <f t="shared" si="9"/>
        <v>Acceptable</v>
      </c>
    </row>
    <row r="311" ht="15.75" customHeight="1">
      <c r="A311" s="1" t="s">
        <v>53</v>
      </c>
      <c r="B311" s="1" t="s">
        <v>16</v>
      </c>
      <c r="C311" s="1" t="s">
        <v>26</v>
      </c>
      <c r="D311" s="1">
        <v>927.0</v>
      </c>
      <c r="E311" s="1">
        <v>923.0</v>
      </c>
      <c r="F311" s="1">
        <f t="shared" si="2"/>
        <v>-4</v>
      </c>
      <c r="G311" s="1">
        <f t="shared" si="3"/>
        <v>4</v>
      </c>
      <c r="H311" s="6">
        <f t="shared" si="4"/>
        <v>0.004314994606</v>
      </c>
      <c r="I311" s="6">
        <f t="shared" si="5"/>
        <v>0.9956850054</v>
      </c>
      <c r="J311" s="1">
        <f t="shared" si="6"/>
        <v>-4</v>
      </c>
      <c r="K311" s="1" t="str">
        <f t="shared" si="7"/>
        <v>Under Forecast</v>
      </c>
      <c r="L311" s="1">
        <f>F311+J310</f>
        <v>-9</v>
      </c>
      <c r="M311" s="7">
        <f t="shared" si="10"/>
        <v>87.07741935</v>
      </c>
      <c r="N311" s="7">
        <f t="shared" si="8"/>
        <v>-0.1033563014</v>
      </c>
      <c r="O311" s="2" t="str">
        <f t="shared" si="9"/>
        <v>Acceptable</v>
      </c>
    </row>
    <row r="312" ht="15.75" customHeight="1">
      <c r="A312" s="1" t="s">
        <v>53</v>
      </c>
      <c r="B312" s="1" t="s">
        <v>16</v>
      </c>
      <c r="C312" s="1" t="s">
        <v>27</v>
      </c>
      <c r="D312" s="1">
        <v>912.0</v>
      </c>
      <c r="E312" s="1">
        <v>926.0</v>
      </c>
      <c r="F312" s="1">
        <f t="shared" si="2"/>
        <v>14</v>
      </c>
      <c r="G312" s="1">
        <f t="shared" si="3"/>
        <v>14</v>
      </c>
      <c r="H312" s="6">
        <f t="shared" si="4"/>
        <v>0.01535087719</v>
      </c>
      <c r="I312" s="6">
        <f t="shared" si="5"/>
        <v>0.9846491228</v>
      </c>
      <c r="J312" s="1">
        <f t="shared" si="6"/>
        <v>14</v>
      </c>
      <c r="K312" s="1" t="str">
        <f t="shared" si="7"/>
        <v>Over Forecast</v>
      </c>
      <c r="L312" s="1">
        <f>F312</f>
        <v>14</v>
      </c>
      <c r="M312" s="7">
        <f t="shared" si="10"/>
        <v>86.84244373</v>
      </c>
      <c r="N312" s="7">
        <f t="shared" si="8"/>
        <v>0.1612114929</v>
      </c>
      <c r="O312" s="2" t="str">
        <f t="shared" si="9"/>
        <v>Acceptable</v>
      </c>
    </row>
    <row r="313" ht="15.75" customHeight="1">
      <c r="A313" s="1" t="s">
        <v>53</v>
      </c>
      <c r="B313" s="1" t="s">
        <v>16</v>
      </c>
      <c r="C313" s="1" t="s">
        <v>28</v>
      </c>
      <c r="D313" s="1">
        <v>897.0</v>
      </c>
      <c r="E313" s="1">
        <v>998.0</v>
      </c>
      <c r="F313" s="1">
        <f t="shared" si="2"/>
        <v>101</v>
      </c>
      <c r="G313" s="1">
        <f t="shared" si="3"/>
        <v>101</v>
      </c>
      <c r="H313" s="6">
        <f t="shared" si="4"/>
        <v>0.1125975474</v>
      </c>
      <c r="I313" s="6">
        <f t="shared" si="5"/>
        <v>0.8874024526</v>
      </c>
      <c r="J313" s="1">
        <f t="shared" si="6"/>
        <v>101</v>
      </c>
      <c r="K313" s="1" t="str">
        <f t="shared" si="7"/>
        <v>Over Forecast</v>
      </c>
      <c r="L313" s="1">
        <f>F313+J312</f>
        <v>115</v>
      </c>
      <c r="M313" s="7">
        <f t="shared" si="10"/>
        <v>86.88782051</v>
      </c>
      <c r="N313" s="7">
        <f t="shared" si="8"/>
        <v>1.323545686</v>
      </c>
      <c r="O313" s="2" t="str">
        <f t="shared" si="9"/>
        <v>Acceptable</v>
      </c>
    </row>
    <row r="314" ht="15.75" customHeight="1">
      <c r="A314" s="1" t="s">
        <v>54</v>
      </c>
      <c r="B314" s="1" t="s">
        <v>16</v>
      </c>
      <c r="C314" s="1" t="s">
        <v>17</v>
      </c>
      <c r="D314" s="1">
        <v>1326.0</v>
      </c>
      <c r="E314" s="1">
        <v>1367.0</v>
      </c>
      <c r="F314" s="1">
        <f t="shared" si="2"/>
        <v>41</v>
      </c>
      <c r="G314" s="1">
        <f t="shared" si="3"/>
        <v>41</v>
      </c>
      <c r="H314" s="6">
        <f t="shared" si="4"/>
        <v>0.03092006033</v>
      </c>
      <c r="I314" s="6">
        <f t="shared" si="5"/>
        <v>0.9690799397</v>
      </c>
      <c r="J314" s="1">
        <f t="shared" si="6"/>
        <v>41</v>
      </c>
      <c r="K314" s="1" t="str">
        <f t="shared" si="7"/>
        <v>Over Forecast</v>
      </c>
      <c r="L314" s="1">
        <f>F314</f>
        <v>41</v>
      </c>
      <c r="M314" s="7">
        <f t="shared" si="10"/>
        <v>86.74121406</v>
      </c>
      <c r="N314" s="7">
        <f t="shared" si="8"/>
        <v>0.4726703499</v>
      </c>
      <c r="O314" s="2" t="str">
        <f t="shared" si="9"/>
        <v>Acceptable</v>
      </c>
    </row>
    <row r="315" ht="15.75" customHeight="1">
      <c r="A315" s="1" t="s">
        <v>54</v>
      </c>
      <c r="B315" s="1" t="s">
        <v>16</v>
      </c>
      <c r="C315" s="1" t="s">
        <v>18</v>
      </c>
      <c r="D315" s="1">
        <v>1652.0</v>
      </c>
      <c r="E315" s="1">
        <v>1756.0</v>
      </c>
      <c r="F315" s="1">
        <f t="shared" si="2"/>
        <v>104</v>
      </c>
      <c r="G315" s="1">
        <f t="shared" si="3"/>
        <v>104</v>
      </c>
      <c r="H315" s="6">
        <f t="shared" si="4"/>
        <v>0.06295399516</v>
      </c>
      <c r="I315" s="6">
        <f t="shared" si="5"/>
        <v>0.9370460048</v>
      </c>
      <c r="J315" s="1">
        <f t="shared" si="6"/>
        <v>104</v>
      </c>
      <c r="K315" s="1" t="str">
        <f t="shared" si="7"/>
        <v>Over Forecast</v>
      </c>
      <c r="L315" s="1">
        <f>F315+J314</f>
        <v>145</v>
      </c>
      <c r="M315" s="7">
        <f t="shared" si="10"/>
        <v>86.79617834</v>
      </c>
      <c r="N315" s="7">
        <f t="shared" si="8"/>
        <v>1.670580465</v>
      </c>
      <c r="O315" s="2" t="str">
        <f t="shared" si="9"/>
        <v>Acceptable</v>
      </c>
    </row>
    <row r="316" ht="15.75" customHeight="1">
      <c r="A316" s="1" t="s">
        <v>54</v>
      </c>
      <c r="B316" s="1" t="s">
        <v>16</v>
      </c>
      <c r="C316" s="1" t="s">
        <v>19</v>
      </c>
      <c r="D316" s="1">
        <v>1575.0</v>
      </c>
      <c r="E316" s="1">
        <v>1680.0</v>
      </c>
      <c r="F316" s="1">
        <f t="shared" si="2"/>
        <v>105</v>
      </c>
      <c r="G316" s="1">
        <f t="shared" si="3"/>
        <v>105</v>
      </c>
      <c r="H316" s="6">
        <f t="shared" si="4"/>
        <v>0.06666666667</v>
      </c>
      <c r="I316" s="6">
        <f t="shared" si="5"/>
        <v>0.9333333333</v>
      </c>
      <c r="J316" s="1">
        <f t="shared" si="6"/>
        <v>105</v>
      </c>
      <c r="K316" s="1" t="str">
        <f t="shared" si="7"/>
        <v>Over Forecast</v>
      </c>
      <c r="L316" s="1">
        <f>F316</f>
        <v>105</v>
      </c>
      <c r="M316" s="7">
        <f t="shared" si="10"/>
        <v>86.85396825</v>
      </c>
      <c r="N316" s="7">
        <f t="shared" si="8"/>
        <v>1.208925765</v>
      </c>
      <c r="O316" s="2" t="str">
        <f t="shared" si="9"/>
        <v>Acceptable</v>
      </c>
    </row>
    <row r="317" ht="15.75" customHeight="1">
      <c r="A317" s="1" t="s">
        <v>54</v>
      </c>
      <c r="B317" s="1" t="s">
        <v>16</v>
      </c>
      <c r="C317" s="1" t="s">
        <v>20</v>
      </c>
      <c r="D317" s="1">
        <v>1427.0</v>
      </c>
      <c r="E317" s="1">
        <v>1535.0</v>
      </c>
      <c r="F317" s="1">
        <f t="shared" si="2"/>
        <v>108</v>
      </c>
      <c r="G317" s="1">
        <f t="shared" si="3"/>
        <v>108</v>
      </c>
      <c r="H317" s="6">
        <f t="shared" si="4"/>
        <v>0.07568325158</v>
      </c>
      <c r="I317" s="6">
        <f t="shared" si="5"/>
        <v>0.9243167484</v>
      </c>
      <c r="J317" s="1">
        <f t="shared" si="6"/>
        <v>108</v>
      </c>
      <c r="K317" s="1" t="str">
        <f t="shared" si="7"/>
        <v>Over Forecast</v>
      </c>
      <c r="L317" s="1">
        <f>F317+J316</f>
        <v>213</v>
      </c>
      <c r="M317" s="7">
        <f t="shared" si="10"/>
        <v>86.92088608</v>
      </c>
      <c r="N317" s="7">
        <f t="shared" si="8"/>
        <v>2.450504241</v>
      </c>
      <c r="O317" s="2" t="str">
        <f t="shared" si="9"/>
        <v>Acceptable</v>
      </c>
    </row>
    <row r="318" ht="15.75" customHeight="1">
      <c r="A318" s="1" t="s">
        <v>54</v>
      </c>
      <c r="B318" s="1" t="s">
        <v>16</v>
      </c>
      <c r="C318" s="1" t="s">
        <v>21</v>
      </c>
      <c r="D318" s="1">
        <v>1613.0</v>
      </c>
      <c r="E318" s="1">
        <v>1670.0</v>
      </c>
      <c r="F318" s="1">
        <f t="shared" si="2"/>
        <v>57</v>
      </c>
      <c r="G318" s="1">
        <f t="shared" si="3"/>
        <v>57</v>
      </c>
      <c r="H318" s="6">
        <f t="shared" si="4"/>
        <v>0.03533787973</v>
      </c>
      <c r="I318" s="6">
        <f t="shared" si="5"/>
        <v>0.9646621203</v>
      </c>
      <c r="J318" s="1">
        <f t="shared" si="6"/>
        <v>57</v>
      </c>
      <c r="K318" s="1" t="str">
        <f t="shared" si="7"/>
        <v>Over Forecast</v>
      </c>
      <c r="L318" s="1">
        <f>F318</f>
        <v>57</v>
      </c>
      <c r="M318" s="7">
        <f t="shared" si="10"/>
        <v>86.82649842</v>
      </c>
      <c r="N318" s="7">
        <f t="shared" si="8"/>
        <v>0.656481616</v>
      </c>
      <c r="O318" s="2" t="str">
        <f t="shared" si="9"/>
        <v>Acceptable</v>
      </c>
    </row>
    <row r="319" ht="15.75" customHeight="1">
      <c r="A319" s="1" t="s">
        <v>54</v>
      </c>
      <c r="B319" s="1" t="s">
        <v>16</v>
      </c>
      <c r="C319" s="1" t="s">
        <v>22</v>
      </c>
      <c r="D319" s="1">
        <v>1738.0</v>
      </c>
      <c r="E319" s="1">
        <v>1798.0</v>
      </c>
      <c r="F319" s="1">
        <f t="shared" si="2"/>
        <v>60</v>
      </c>
      <c r="G319" s="1">
        <f t="shared" si="3"/>
        <v>60</v>
      </c>
      <c r="H319" s="6">
        <f t="shared" si="4"/>
        <v>0.03452243959</v>
      </c>
      <c r="I319" s="6">
        <f t="shared" si="5"/>
        <v>0.9654775604</v>
      </c>
      <c r="J319" s="1">
        <f t="shared" si="6"/>
        <v>60</v>
      </c>
      <c r="K319" s="1" t="str">
        <f t="shared" si="7"/>
        <v>Over Forecast</v>
      </c>
      <c r="L319" s="1">
        <f>F319+J318</f>
        <v>117</v>
      </c>
      <c r="M319" s="7">
        <f t="shared" si="10"/>
        <v>86.74213836</v>
      </c>
      <c r="N319" s="7">
        <f t="shared" si="8"/>
        <v>1.348825406</v>
      </c>
      <c r="O319" s="2" t="str">
        <f t="shared" si="9"/>
        <v>Acceptable</v>
      </c>
    </row>
    <row r="320" ht="15.75" customHeight="1">
      <c r="A320" s="1" t="s">
        <v>54</v>
      </c>
      <c r="B320" s="1" t="s">
        <v>16</v>
      </c>
      <c r="C320" s="1" t="s">
        <v>23</v>
      </c>
      <c r="D320" s="1">
        <v>1661.0</v>
      </c>
      <c r="E320" s="1">
        <v>1654.0</v>
      </c>
      <c r="F320" s="1">
        <f t="shared" si="2"/>
        <v>-7</v>
      </c>
      <c r="G320" s="1">
        <f t="shared" si="3"/>
        <v>7</v>
      </c>
      <c r="H320" s="6">
        <f t="shared" si="4"/>
        <v>0.004214328718</v>
      </c>
      <c r="I320" s="6">
        <f t="shared" si="5"/>
        <v>0.9957856713</v>
      </c>
      <c r="J320" s="1">
        <f t="shared" si="6"/>
        <v>-7</v>
      </c>
      <c r="K320" s="1" t="str">
        <f t="shared" si="7"/>
        <v>Under Forecast</v>
      </c>
      <c r="L320" s="1">
        <f>F320</f>
        <v>-7</v>
      </c>
      <c r="M320" s="7">
        <f t="shared" si="10"/>
        <v>86.49216301</v>
      </c>
      <c r="N320" s="7">
        <f t="shared" si="8"/>
        <v>-0.08093218803</v>
      </c>
      <c r="O320" s="2" t="str">
        <f t="shared" si="9"/>
        <v>Acceptable</v>
      </c>
    </row>
    <row r="321" ht="15.75" customHeight="1">
      <c r="A321" s="1" t="s">
        <v>54</v>
      </c>
      <c r="B321" s="1" t="s">
        <v>16</v>
      </c>
      <c r="C321" s="1" t="s">
        <v>24</v>
      </c>
      <c r="D321" s="1">
        <v>1685.0</v>
      </c>
      <c r="E321" s="1">
        <v>1605.0</v>
      </c>
      <c r="F321" s="1">
        <f t="shared" si="2"/>
        <v>-80</v>
      </c>
      <c r="G321" s="1">
        <f t="shared" si="3"/>
        <v>80</v>
      </c>
      <c r="H321" s="6">
        <f t="shared" si="4"/>
        <v>0.04747774481</v>
      </c>
      <c r="I321" s="6">
        <f t="shared" si="5"/>
        <v>0.9525222552</v>
      </c>
      <c r="J321" s="1">
        <f t="shared" si="6"/>
        <v>-80</v>
      </c>
      <c r="K321" s="1" t="str">
        <f t="shared" si="7"/>
        <v>Under Forecast</v>
      </c>
      <c r="L321" s="1">
        <f>F321+J320</f>
        <v>-87</v>
      </c>
      <c r="M321" s="7">
        <f t="shared" si="10"/>
        <v>86.471875</v>
      </c>
      <c r="N321" s="7">
        <f t="shared" si="8"/>
        <v>-1.006107477</v>
      </c>
      <c r="O321" s="2" t="str">
        <f t="shared" si="9"/>
        <v>Acceptable</v>
      </c>
    </row>
    <row r="322" ht="15.75" customHeight="1">
      <c r="A322" s="1" t="s">
        <v>54</v>
      </c>
      <c r="B322" s="1" t="s">
        <v>16</v>
      </c>
      <c r="C322" s="1" t="s">
        <v>25</v>
      </c>
      <c r="D322" s="1">
        <v>1617.0</v>
      </c>
      <c r="E322" s="1">
        <v>1671.0</v>
      </c>
      <c r="F322" s="1">
        <f t="shared" si="2"/>
        <v>54</v>
      </c>
      <c r="G322" s="1">
        <f t="shared" si="3"/>
        <v>54</v>
      </c>
      <c r="H322" s="6">
        <f t="shared" si="4"/>
        <v>0.03339517625</v>
      </c>
      <c r="I322" s="6">
        <f t="shared" si="5"/>
        <v>0.9666048237</v>
      </c>
      <c r="J322" s="1">
        <f t="shared" si="6"/>
        <v>54</v>
      </c>
      <c r="K322" s="1" t="str">
        <f t="shared" si="7"/>
        <v>Over Forecast</v>
      </c>
      <c r="L322" s="1">
        <f>F322</f>
        <v>54</v>
      </c>
      <c r="M322" s="7">
        <f t="shared" si="10"/>
        <v>86.37071651</v>
      </c>
      <c r="N322" s="7">
        <f t="shared" si="8"/>
        <v>0.6252119026</v>
      </c>
      <c r="O322" s="2" t="str">
        <f t="shared" si="9"/>
        <v>Acceptable</v>
      </c>
    </row>
    <row r="323" ht="15.75" customHeight="1">
      <c r="A323" s="1" t="s">
        <v>54</v>
      </c>
      <c r="B323" s="1" t="s">
        <v>16</v>
      </c>
      <c r="C323" s="1" t="s">
        <v>26</v>
      </c>
      <c r="D323" s="1">
        <v>1352.0</v>
      </c>
      <c r="E323" s="1">
        <v>1403.0</v>
      </c>
      <c r="F323" s="1">
        <f t="shared" si="2"/>
        <v>51</v>
      </c>
      <c r="G323" s="1">
        <f t="shared" si="3"/>
        <v>51</v>
      </c>
      <c r="H323" s="6">
        <f t="shared" si="4"/>
        <v>0.03772189349</v>
      </c>
      <c r="I323" s="6">
        <f t="shared" si="5"/>
        <v>0.9622781065</v>
      </c>
      <c r="J323" s="1">
        <f t="shared" si="6"/>
        <v>51</v>
      </c>
      <c r="K323" s="1" t="str">
        <f t="shared" si="7"/>
        <v>Over Forecast</v>
      </c>
      <c r="L323" s="1">
        <f>F323+J322</f>
        <v>105</v>
      </c>
      <c r="M323" s="7">
        <f t="shared" si="10"/>
        <v>86.26086957</v>
      </c>
      <c r="N323" s="7">
        <f t="shared" si="8"/>
        <v>1.217237903</v>
      </c>
      <c r="O323" s="2" t="str">
        <f t="shared" si="9"/>
        <v>Acceptable</v>
      </c>
    </row>
    <row r="324" ht="15.75" customHeight="1">
      <c r="A324" s="1" t="s">
        <v>54</v>
      </c>
      <c r="B324" s="1" t="s">
        <v>16</v>
      </c>
      <c r="C324" s="1" t="s">
        <v>27</v>
      </c>
      <c r="D324" s="1">
        <v>1407.0</v>
      </c>
      <c r="E324" s="1">
        <v>1453.0</v>
      </c>
      <c r="F324" s="1">
        <f t="shared" si="2"/>
        <v>46</v>
      </c>
      <c r="G324" s="1">
        <f t="shared" si="3"/>
        <v>46</v>
      </c>
      <c r="H324" s="6">
        <f t="shared" si="4"/>
        <v>0.03269367448</v>
      </c>
      <c r="I324" s="6">
        <f t="shared" si="5"/>
        <v>0.9673063255</v>
      </c>
      <c r="J324" s="1">
        <f t="shared" si="6"/>
        <v>46</v>
      </c>
      <c r="K324" s="1" t="str">
        <f t="shared" si="7"/>
        <v>Over Forecast</v>
      </c>
      <c r="L324" s="1">
        <f>F324</f>
        <v>46</v>
      </c>
      <c r="M324" s="7">
        <f t="shared" si="10"/>
        <v>86.13622291</v>
      </c>
      <c r="N324" s="7">
        <f t="shared" si="8"/>
        <v>0.5340378118</v>
      </c>
      <c r="O324" s="2" t="str">
        <f t="shared" si="9"/>
        <v>Acceptable</v>
      </c>
    </row>
    <row r="325" ht="15.75" customHeight="1">
      <c r="A325" s="1" t="s">
        <v>54</v>
      </c>
      <c r="B325" s="1" t="s">
        <v>16</v>
      </c>
      <c r="C325" s="1" t="s">
        <v>28</v>
      </c>
      <c r="D325" s="1">
        <v>1417.0</v>
      </c>
      <c r="E325" s="1">
        <v>1323.0</v>
      </c>
      <c r="F325" s="1">
        <f t="shared" si="2"/>
        <v>-94</v>
      </c>
      <c r="G325" s="1">
        <f t="shared" si="3"/>
        <v>94</v>
      </c>
      <c r="H325" s="6">
        <f t="shared" si="4"/>
        <v>0.06633733239</v>
      </c>
      <c r="I325" s="6">
        <f t="shared" si="5"/>
        <v>0.9336626676</v>
      </c>
      <c r="J325" s="1">
        <f t="shared" si="6"/>
        <v>-94</v>
      </c>
      <c r="K325" s="1" t="str">
        <f t="shared" si="7"/>
        <v>Under Forecast</v>
      </c>
      <c r="L325" s="1">
        <f>F325+J324</f>
        <v>-48</v>
      </c>
      <c r="M325" s="7">
        <f t="shared" si="10"/>
        <v>86.16049383</v>
      </c>
      <c r="N325" s="7">
        <f t="shared" si="8"/>
        <v>-0.557099871</v>
      </c>
      <c r="O325" s="2" t="str">
        <f t="shared" si="9"/>
        <v>Acceptable</v>
      </c>
    </row>
    <row r="326" ht="15.75" customHeight="1">
      <c r="A326" s="1" t="s">
        <v>55</v>
      </c>
      <c r="B326" s="1" t="s">
        <v>16</v>
      </c>
      <c r="C326" s="1" t="s">
        <v>17</v>
      </c>
      <c r="D326" s="1">
        <v>882.0</v>
      </c>
      <c r="E326" s="1">
        <v>851.0</v>
      </c>
      <c r="F326" s="1">
        <f t="shared" si="2"/>
        <v>-31</v>
      </c>
      <c r="G326" s="1">
        <f t="shared" si="3"/>
        <v>31</v>
      </c>
      <c r="H326" s="6">
        <f t="shared" si="4"/>
        <v>0.03514739229</v>
      </c>
      <c r="I326" s="6">
        <f t="shared" si="5"/>
        <v>0.9648526077</v>
      </c>
      <c r="J326" s="1">
        <f t="shared" si="6"/>
        <v>-31</v>
      </c>
      <c r="K326" s="1" t="str">
        <f t="shared" si="7"/>
        <v>Under Forecast</v>
      </c>
      <c r="L326" s="1">
        <f>F326</f>
        <v>-31</v>
      </c>
      <c r="M326" s="7">
        <f t="shared" si="10"/>
        <v>85.99076923</v>
      </c>
      <c r="N326" s="7">
        <f t="shared" si="8"/>
        <v>-0.3605038108</v>
      </c>
      <c r="O326" s="2" t="str">
        <f t="shared" si="9"/>
        <v>Acceptable</v>
      </c>
    </row>
    <row r="327" ht="15.75" customHeight="1">
      <c r="A327" s="1" t="s">
        <v>55</v>
      </c>
      <c r="B327" s="1" t="s">
        <v>16</v>
      </c>
      <c r="C327" s="1" t="s">
        <v>18</v>
      </c>
      <c r="D327" s="1">
        <v>944.0</v>
      </c>
      <c r="E327" s="1">
        <v>889.0</v>
      </c>
      <c r="F327" s="1">
        <f t="shared" si="2"/>
        <v>-55</v>
      </c>
      <c r="G327" s="1">
        <f t="shared" si="3"/>
        <v>55</v>
      </c>
      <c r="H327" s="6">
        <f t="shared" si="4"/>
        <v>0.05826271186</v>
      </c>
      <c r="I327" s="6">
        <f t="shared" si="5"/>
        <v>0.9417372881</v>
      </c>
      <c r="J327" s="1">
        <f t="shared" si="6"/>
        <v>-55</v>
      </c>
      <c r="K327" s="1" t="str">
        <f t="shared" si="7"/>
        <v>Under Forecast</v>
      </c>
      <c r="L327" s="1">
        <f>F327+J326</f>
        <v>-86</v>
      </c>
      <c r="M327" s="7">
        <f t="shared" si="10"/>
        <v>85.89570552</v>
      </c>
      <c r="N327" s="7">
        <f t="shared" si="8"/>
        <v>-1.001214199</v>
      </c>
      <c r="O327" s="2" t="str">
        <f t="shared" si="9"/>
        <v>Acceptable</v>
      </c>
    </row>
    <row r="328" ht="15.75" customHeight="1">
      <c r="A328" s="1" t="s">
        <v>55</v>
      </c>
      <c r="B328" s="1" t="s">
        <v>16</v>
      </c>
      <c r="C328" s="1" t="s">
        <v>19</v>
      </c>
      <c r="D328" s="1">
        <v>1047.0</v>
      </c>
      <c r="E328" s="1">
        <v>1002.0</v>
      </c>
      <c r="F328" s="1">
        <f t="shared" si="2"/>
        <v>-45</v>
      </c>
      <c r="G328" s="1">
        <f t="shared" si="3"/>
        <v>45</v>
      </c>
      <c r="H328" s="6">
        <f t="shared" si="4"/>
        <v>0.04297994269</v>
      </c>
      <c r="I328" s="6">
        <f t="shared" si="5"/>
        <v>0.9570200573</v>
      </c>
      <c r="J328" s="1">
        <f t="shared" si="6"/>
        <v>-45</v>
      </c>
      <c r="K328" s="1" t="str">
        <f t="shared" si="7"/>
        <v>Under Forecast</v>
      </c>
      <c r="L328" s="1">
        <f>F328</f>
        <v>-45</v>
      </c>
      <c r="M328" s="7">
        <f t="shared" si="10"/>
        <v>85.7706422</v>
      </c>
      <c r="N328" s="7">
        <f t="shared" si="8"/>
        <v>-0.5246550433</v>
      </c>
      <c r="O328" s="2" t="str">
        <f t="shared" si="9"/>
        <v>Acceptable</v>
      </c>
    </row>
    <row r="329" ht="15.75" customHeight="1">
      <c r="A329" s="1" t="s">
        <v>55</v>
      </c>
      <c r="B329" s="1" t="s">
        <v>16</v>
      </c>
      <c r="C329" s="1" t="s">
        <v>20</v>
      </c>
      <c r="D329" s="1">
        <v>1031.0</v>
      </c>
      <c r="E329" s="1">
        <v>1009.0</v>
      </c>
      <c r="F329" s="1">
        <f t="shared" si="2"/>
        <v>-22</v>
      </c>
      <c r="G329" s="1">
        <f t="shared" si="3"/>
        <v>22</v>
      </c>
      <c r="H329" s="6">
        <f t="shared" si="4"/>
        <v>0.0213385063</v>
      </c>
      <c r="I329" s="6">
        <f t="shared" si="5"/>
        <v>0.9786614937</v>
      </c>
      <c r="J329" s="1">
        <f t="shared" si="6"/>
        <v>-22</v>
      </c>
      <c r="K329" s="1" t="str">
        <f t="shared" si="7"/>
        <v>Under Forecast</v>
      </c>
      <c r="L329" s="1">
        <f>F329+J328</f>
        <v>-67</v>
      </c>
      <c r="M329" s="7">
        <f t="shared" si="10"/>
        <v>85.57621951</v>
      </c>
      <c r="N329" s="7">
        <f t="shared" si="8"/>
        <v>-0.7829277851</v>
      </c>
      <c r="O329" s="2" t="str">
        <f t="shared" si="9"/>
        <v>Acceptable</v>
      </c>
    </row>
    <row r="330" ht="15.75" customHeight="1">
      <c r="A330" s="1" t="s">
        <v>55</v>
      </c>
      <c r="B330" s="1" t="s">
        <v>16</v>
      </c>
      <c r="C330" s="1" t="s">
        <v>21</v>
      </c>
      <c r="D330" s="1">
        <v>1063.0</v>
      </c>
      <c r="E330" s="1">
        <v>948.0</v>
      </c>
      <c r="F330" s="1">
        <f t="shared" si="2"/>
        <v>-115</v>
      </c>
      <c r="G330" s="1">
        <f t="shared" si="3"/>
        <v>115</v>
      </c>
      <c r="H330" s="6">
        <f t="shared" si="4"/>
        <v>0.1081843838</v>
      </c>
      <c r="I330" s="6">
        <f t="shared" si="5"/>
        <v>0.8918156162</v>
      </c>
      <c r="J330" s="1">
        <f t="shared" si="6"/>
        <v>-115</v>
      </c>
      <c r="K330" s="1" t="str">
        <f t="shared" si="7"/>
        <v>Under Forecast</v>
      </c>
      <c r="L330" s="1">
        <f>F330</f>
        <v>-115</v>
      </c>
      <c r="M330" s="7">
        <f t="shared" si="10"/>
        <v>85.6656535</v>
      </c>
      <c r="N330" s="7">
        <f t="shared" si="8"/>
        <v>-1.342428328</v>
      </c>
      <c r="O330" s="2" t="str">
        <f t="shared" si="9"/>
        <v>Acceptable</v>
      </c>
    </row>
    <row r="331" ht="15.75" customHeight="1">
      <c r="A331" s="1" t="s">
        <v>55</v>
      </c>
      <c r="B331" s="1" t="s">
        <v>16</v>
      </c>
      <c r="C331" s="1" t="s">
        <v>22</v>
      </c>
      <c r="D331" s="1">
        <v>1092.0</v>
      </c>
      <c r="E331" s="1">
        <v>970.0</v>
      </c>
      <c r="F331" s="1">
        <f t="shared" si="2"/>
        <v>-122</v>
      </c>
      <c r="G331" s="1">
        <f t="shared" si="3"/>
        <v>122</v>
      </c>
      <c r="H331" s="6">
        <f t="shared" si="4"/>
        <v>0.1117216117</v>
      </c>
      <c r="I331" s="6">
        <f t="shared" si="5"/>
        <v>0.8882783883</v>
      </c>
      <c r="J331" s="1">
        <f t="shared" si="6"/>
        <v>-122</v>
      </c>
      <c r="K331" s="1" t="str">
        <f t="shared" si="7"/>
        <v>Under Forecast</v>
      </c>
      <c r="L331" s="1">
        <f>F331+J330</f>
        <v>-237</v>
      </c>
      <c r="M331" s="7">
        <f t="shared" si="10"/>
        <v>85.77575758</v>
      </c>
      <c r="N331" s="7">
        <f t="shared" si="8"/>
        <v>-2.763018441</v>
      </c>
      <c r="O331" s="2" t="str">
        <f t="shared" si="9"/>
        <v>Acceptable</v>
      </c>
    </row>
    <row r="332" ht="15.75" customHeight="1">
      <c r="A332" s="1" t="s">
        <v>55</v>
      </c>
      <c r="B332" s="1" t="s">
        <v>16</v>
      </c>
      <c r="C332" s="1" t="s">
        <v>23</v>
      </c>
      <c r="D332" s="1">
        <v>1261.0</v>
      </c>
      <c r="E332" s="1">
        <v>1219.0</v>
      </c>
      <c r="F332" s="1">
        <f t="shared" si="2"/>
        <v>-42</v>
      </c>
      <c r="G332" s="1">
        <f t="shared" si="3"/>
        <v>42</v>
      </c>
      <c r="H332" s="6">
        <f t="shared" si="4"/>
        <v>0.03330689929</v>
      </c>
      <c r="I332" s="6">
        <f t="shared" si="5"/>
        <v>0.9666931007</v>
      </c>
      <c r="J332" s="1">
        <f t="shared" si="6"/>
        <v>-42</v>
      </c>
      <c r="K332" s="1" t="str">
        <f t="shared" si="7"/>
        <v>Under Forecast</v>
      </c>
      <c r="L332" s="1">
        <f>F332</f>
        <v>-42</v>
      </c>
      <c r="M332" s="7">
        <f t="shared" si="10"/>
        <v>85.64350453</v>
      </c>
      <c r="N332" s="7">
        <f t="shared" si="8"/>
        <v>-0.4904049668</v>
      </c>
      <c r="O332" s="2" t="str">
        <f t="shared" si="9"/>
        <v>Acceptable</v>
      </c>
    </row>
    <row r="333" ht="15.75" customHeight="1">
      <c r="A333" s="1" t="s">
        <v>55</v>
      </c>
      <c r="B333" s="1" t="s">
        <v>16</v>
      </c>
      <c r="C333" s="1" t="s">
        <v>24</v>
      </c>
      <c r="D333" s="1">
        <v>1330.0</v>
      </c>
      <c r="E333" s="1">
        <v>1179.0</v>
      </c>
      <c r="F333" s="1">
        <f t="shared" si="2"/>
        <v>-151</v>
      </c>
      <c r="G333" s="1">
        <f t="shared" si="3"/>
        <v>151</v>
      </c>
      <c r="H333" s="6">
        <f t="shared" si="4"/>
        <v>0.1135338346</v>
      </c>
      <c r="I333" s="6">
        <f t="shared" si="5"/>
        <v>0.8864661654</v>
      </c>
      <c r="J333" s="1">
        <f t="shared" si="6"/>
        <v>-151</v>
      </c>
      <c r="K333" s="1" t="str">
        <f t="shared" si="7"/>
        <v>Under Forecast</v>
      </c>
      <c r="L333" s="1">
        <f>F333+J332</f>
        <v>-193</v>
      </c>
      <c r="M333" s="7">
        <f t="shared" si="10"/>
        <v>85.84036145</v>
      </c>
      <c r="N333" s="7">
        <f t="shared" si="8"/>
        <v>-2.248359592</v>
      </c>
      <c r="O333" s="2" t="str">
        <f t="shared" si="9"/>
        <v>Acceptable</v>
      </c>
    </row>
    <row r="334" ht="15.75" customHeight="1">
      <c r="A334" s="1" t="s">
        <v>55</v>
      </c>
      <c r="B334" s="1" t="s">
        <v>16</v>
      </c>
      <c r="C334" s="1" t="s">
        <v>25</v>
      </c>
      <c r="D334" s="1">
        <v>1304.0</v>
      </c>
      <c r="E334" s="1">
        <v>1290.0</v>
      </c>
      <c r="F334" s="1">
        <f t="shared" si="2"/>
        <v>-14</v>
      </c>
      <c r="G334" s="1">
        <f t="shared" si="3"/>
        <v>14</v>
      </c>
      <c r="H334" s="6">
        <f t="shared" si="4"/>
        <v>0.01073619632</v>
      </c>
      <c r="I334" s="6">
        <f t="shared" si="5"/>
        <v>0.9892638037</v>
      </c>
      <c r="J334" s="1">
        <f t="shared" si="6"/>
        <v>-14</v>
      </c>
      <c r="K334" s="1" t="str">
        <f t="shared" si="7"/>
        <v>Under Forecast</v>
      </c>
      <c r="L334" s="1">
        <f>F334</f>
        <v>-14</v>
      </c>
      <c r="M334" s="7">
        <f t="shared" si="10"/>
        <v>85.62462462</v>
      </c>
      <c r="N334" s="7">
        <f t="shared" si="8"/>
        <v>-0.1635043664</v>
      </c>
      <c r="O334" s="2" t="str">
        <f t="shared" si="9"/>
        <v>Acceptable</v>
      </c>
    </row>
    <row r="335" ht="15.75" customHeight="1">
      <c r="A335" s="1" t="s">
        <v>55</v>
      </c>
      <c r="B335" s="1" t="s">
        <v>16</v>
      </c>
      <c r="C335" s="1" t="s">
        <v>26</v>
      </c>
      <c r="D335" s="1">
        <v>1205.0</v>
      </c>
      <c r="E335" s="1">
        <v>1228.0</v>
      </c>
      <c r="F335" s="1">
        <f t="shared" si="2"/>
        <v>23</v>
      </c>
      <c r="G335" s="1">
        <f t="shared" si="3"/>
        <v>23</v>
      </c>
      <c r="H335" s="6">
        <f t="shared" si="4"/>
        <v>0.01908713693</v>
      </c>
      <c r="I335" s="6">
        <f t="shared" si="5"/>
        <v>0.9809128631</v>
      </c>
      <c r="J335" s="1">
        <f t="shared" si="6"/>
        <v>23</v>
      </c>
      <c r="K335" s="1" t="str">
        <f t="shared" si="7"/>
        <v>Over Forecast</v>
      </c>
      <c r="L335" s="1">
        <f>F335+J334</f>
        <v>9</v>
      </c>
      <c r="M335" s="7">
        <f t="shared" si="10"/>
        <v>85.43712575</v>
      </c>
      <c r="N335" s="7">
        <f t="shared" si="8"/>
        <v>0.1053406224</v>
      </c>
      <c r="O335" s="2" t="str">
        <f t="shared" si="9"/>
        <v>Acceptable</v>
      </c>
    </row>
    <row r="336" ht="15.75" customHeight="1">
      <c r="A336" s="1" t="s">
        <v>55</v>
      </c>
      <c r="B336" s="1" t="s">
        <v>16</v>
      </c>
      <c r="C336" s="1" t="s">
        <v>27</v>
      </c>
      <c r="D336" s="1">
        <v>1357.0</v>
      </c>
      <c r="E336" s="1">
        <v>1225.0</v>
      </c>
      <c r="F336" s="1">
        <f t="shared" si="2"/>
        <v>-132</v>
      </c>
      <c r="G336" s="1">
        <f t="shared" si="3"/>
        <v>132</v>
      </c>
      <c r="H336" s="6">
        <f t="shared" si="4"/>
        <v>0.0972733972</v>
      </c>
      <c r="I336" s="6">
        <f t="shared" si="5"/>
        <v>0.9027266028</v>
      </c>
      <c r="J336" s="1">
        <f t="shared" si="6"/>
        <v>-132</v>
      </c>
      <c r="K336" s="1" t="str">
        <f t="shared" si="7"/>
        <v>Under Forecast</v>
      </c>
      <c r="L336" s="1">
        <f>F336</f>
        <v>-132</v>
      </c>
      <c r="M336" s="7">
        <f t="shared" si="10"/>
        <v>85.5761194</v>
      </c>
      <c r="N336" s="7">
        <f t="shared" si="8"/>
        <v>-1.542486396</v>
      </c>
      <c r="O336" s="2" t="str">
        <f t="shared" si="9"/>
        <v>Acceptable</v>
      </c>
    </row>
    <row r="337" ht="15.75" customHeight="1">
      <c r="A337" s="1" t="s">
        <v>55</v>
      </c>
      <c r="B337" s="1" t="s">
        <v>16</v>
      </c>
      <c r="C337" s="1" t="s">
        <v>28</v>
      </c>
      <c r="D337" s="1">
        <v>1201.0</v>
      </c>
      <c r="E337" s="1">
        <v>1222.0</v>
      </c>
      <c r="F337" s="1">
        <f t="shared" si="2"/>
        <v>21</v>
      </c>
      <c r="G337" s="1">
        <f t="shared" si="3"/>
        <v>21</v>
      </c>
      <c r="H337" s="6">
        <f t="shared" si="4"/>
        <v>0.01748542881</v>
      </c>
      <c r="I337" s="6">
        <f t="shared" si="5"/>
        <v>0.9825145712</v>
      </c>
      <c r="J337" s="1">
        <f t="shared" si="6"/>
        <v>21</v>
      </c>
      <c r="K337" s="1" t="str">
        <f t="shared" si="7"/>
        <v>Over Forecast</v>
      </c>
      <c r="L337" s="1">
        <f>F337+J336</f>
        <v>-111</v>
      </c>
      <c r="M337" s="7">
        <f t="shared" si="10"/>
        <v>85.38392857</v>
      </c>
      <c r="N337" s="7">
        <f t="shared" si="8"/>
        <v>-1.300010457</v>
      </c>
      <c r="O337" s="2" t="str">
        <f t="shared" si="9"/>
        <v>Acceptable</v>
      </c>
    </row>
    <row r="338" ht="15.75" customHeight="1">
      <c r="A338" s="1" t="s">
        <v>56</v>
      </c>
      <c r="B338" s="1" t="s">
        <v>16</v>
      </c>
      <c r="C338" s="1" t="s">
        <v>17</v>
      </c>
      <c r="D338" s="1">
        <v>1709.0</v>
      </c>
      <c r="E338" s="1">
        <v>1747.0</v>
      </c>
      <c r="F338" s="1">
        <f t="shared" si="2"/>
        <v>38</v>
      </c>
      <c r="G338" s="1">
        <f t="shared" si="3"/>
        <v>38</v>
      </c>
      <c r="H338" s="6">
        <f t="shared" si="4"/>
        <v>0.02223522528</v>
      </c>
      <c r="I338" s="6">
        <f t="shared" si="5"/>
        <v>0.9777647747</v>
      </c>
      <c r="J338" s="1">
        <f t="shared" si="6"/>
        <v>38</v>
      </c>
      <c r="K338" s="1" t="str">
        <f t="shared" si="7"/>
        <v>Over Forecast</v>
      </c>
      <c r="L338" s="1">
        <f>F338</f>
        <v>38</v>
      </c>
      <c r="M338" s="7">
        <f t="shared" si="10"/>
        <v>85.24332344</v>
      </c>
      <c r="N338" s="7">
        <f t="shared" si="8"/>
        <v>0.4457827131</v>
      </c>
      <c r="O338" s="2" t="str">
        <f t="shared" si="9"/>
        <v>Acceptable</v>
      </c>
    </row>
    <row r="339" ht="15.75" customHeight="1">
      <c r="A339" s="1" t="s">
        <v>56</v>
      </c>
      <c r="B339" s="1" t="s">
        <v>16</v>
      </c>
      <c r="C339" s="1" t="s">
        <v>18</v>
      </c>
      <c r="D339" s="1">
        <v>1738.0</v>
      </c>
      <c r="E339" s="1">
        <v>1769.0</v>
      </c>
      <c r="F339" s="1">
        <f t="shared" si="2"/>
        <v>31</v>
      </c>
      <c r="G339" s="1">
        <f t="shared" si="3"/>
        <v>31</v>
      </c>
      <c r="H339" s="6">
        <f t="shared" si="4"/>
        <v>0.01783659379</v>
      </c>
      <c r="I339" s="6">
        <f t="shared" si="5"/>
        <v>0.9821634062</v>
      </c>
      <c r="J339" s="1">
        <f t="shared" si="6"/>
        <v>31</v>
      </c>
      <c r="K339" s="1" t="str">
        <f t="shared" si="7"/>
        <v>Over Forecast</v>
      </c>
      <c r="L339" s="1">
        <f>F339+J338</f>
        <v>69</v>
      </c>
      <c r="M339" s="7">
        <f t="shared" si="10"/>
        <v>85.08284024</v>
      </c>
      <c r="N339" s="7">
        <f t="shared" si="8"/>
        <v>0.8109743376</v>
      </c>
      <c r="O339" s="2" t="str">
        <f t="shared" si="9"/>
        <v>Acceptable</v>
      </c>
    </row>
    <row r="340" ht="15.75" customHeight="1">
      <c r="A340" s="1" t="s">
        <v>56</v>
      </c>
      <c r="B340" s="1" t="s">
        <v>16</v>
      </c>
      <c r="C340" s="1" t="s">
        <v>19</v>
      </c>
      <c r="D340" s="1">
        <v>1820.0</v>
      </c>
      <c r="E340" s="1">
        <v>1674.0</v>
      </c>
      <c r="F340" s="1">
        <f t="shared" si="2"/>
        <v>-146</v>
      </c>
      <c r="G340" s="1">
        <f t="shared" si="3"/>
        <v>146</v>
      </c>
      <c r="H340" s="6">
        <f t="shared" si="4"/>
        <v>0.08021978022</v>
      </c>
      <c r="I340" s="6">
        <f t="shared" si="5"/>
        <v>0.9197802198</v>
      </c>
      <c r="J340" s="1">
        <f t="shared" si="6"/>
        <v>-146</v>
      </c>
      <c r="K340" s="1" t="str">
        <f t="shared" si="7"/>
        <v>Under Forecast</v>
      </c>
      <c r="L340" s="1">
        <f>F340</f>
        <v>-146</v>
      </c>
      <c r="M340" s="7">
        <f t="shared" si="10"/>
        <v>85.26253687</v>
      </c>
      <c r="N340" s="7">
        <f t="shared" si="8"/>
        <v>-1.712358151</v>
      </c>
      <c r="O340" s="2" t="str">
        <f t="shared" si="9"/>
        <v>Acceptable</v>
      </c>
    </row>
    <row r="341" ht="15.75" customHeight="1">
      <c r="A341" s="1" t="s">
        <v>56</v>
      </c>
      <c r="B341" s="1" t="s">
        <v>16</v>
      </c>
      <c r="C341" s="1" t="s">
        <v>20</v>
      </c>
      <c r="D341" s="1">
        <v>1653.0</v>
      </c>
      <c r="E341" s="1">
        <v>1638.0</v>
      </c>
      <c r="F341" s="1">
        <f t="shared" si="2"/>
        <v>-15</v>
      </c>
      <c r="G341" s="1">
        <f t="shared" si="3"/>
        <v>15</v>
      </c>
      <c r="H341" s="6">
        <f t="shared" si="4"/>
        <v>0.009074410163</v>
      </c>
      <c r="I341" s="6">
        <f t="shared" si="5"/>
        <v>0.9909255898</v>
      </c>
      <c r="J341" s="1">
        <f t="shared" si="6"/>
        <v>-15</v>
      </c>
      <c r="K341" s="1" t="str">
        <f t="shared" si="7"/>
        <v>Under Forecast</v>
      </c>
      <c r="L341" s="1">
        <f>F341+J340</f>
        <v>-161</v>
      </c>
      <c r="M341" s="7">
        <f t="shared" si="10"/>
        <v>85.05588235</v>
      </c>
      <c r="N341" s="7">
        <f t="shared" si="8"/>
        <v>-1.892873198</v>
      </c>
      <c r="O341" s="2" t="str">
        <f t="shared" si="9"/>
        <v>Acceptable</v>
      </c>
    </row>
    <row r="342" ht="15.75" customHeight="1">
      <c r="A342" s="1" t="s">
        <v>56</v>
      </c>
      <c r="B342" s="1" t="s">
        <v>16</v>
      </c>
      <c r="C342" s="1" t="s">
        <v>21</v>
      </c>
      <c r="D342" s="1">
        <v>1925.0</v>
      </c>
      <c r="E342" s="1">
        <v>1810.0</v>
      </c>
      <c r="F342" s="1">
        <f t="shared" si="2"/>
        <v>-115</v>
      </c>
      <c r="G342" s="1">
        <f t="shared" si="3"/>
        <v>115</v>
      </c>
      <c r="H342" s="6">
        <f t="shared" si="4"/>
        <v>0.05974025974</v>
      </c>
      <c r="I342" s="6">
        <f t="shared" si="5"/>
        <v>0.9402597403</v>
      </c>
      <c r="J342" s="1">
        <f t="shared" si="6"/>
        <v>-115</v>
      </c>
      <c r="K342" s="1" t="str">
        <f t="shared" si="7"/>
        <v>Under Forecast</v>
      </c>
      <c r="L342" s="1">
        <f>F342</f>
        <v>-115</v>
      </c>
      <c r="M342" s="7">
        <f t="shared" si="10"/>
        <v>85.14369501</v>
      </c>
      <c r="N342" s="7">
        <f t="shared" si="8"/>
        <v>-1.350657849</v>
      </c>
      <c r="O342" s="2" t="str">
        <f t="shared" si="9"/>
        <v>Acceptable</v>
      </c>
    </row>
    <row r="343" ht="15.75" customHeight="1">
      <c r="A343" s="1" t="s">
        <v>56</v>
      </c>
      <c r="B343" s="1" t="s">
        <v>16</v>
      </c>
      <c r="C343" s="1" t="s">
        <v>22</v>
      </c>
      <c r="D343" s="1">
        <v>1830.0</v>
      </c>
      <c r="E343" s="1">
        <v>1828.0</v>
      </c>
      <c r="F343" s="1">
        <f t="shared" si="2"/>
        <v>-2</v>
      </c>
      <c r="G343" s="1">
        <f t="shared" si="3"/>
        <v>2</v>
      </c>
      <c r="H343" s="6">
        <f t="shared" si="4"/>
        <v>0.001092896175</v>
      </c>
      <c r="I343" s="6">
        <f t="shared" si="5"/>
        <v>0.9989071038</v>
      </c>
      <c r="J343" s="1">
        <f t="shared" si="6"/>
        <v>-2</v>
      </c>
      <c r="K343" s="1" t="str">
        <f t="shared" si="7"/>
        <v>Under Forecast</v>
      </c>
      <c r="L343" s="1">
        <f>F343+J342</f>
        <v>-117</v>
      </c>
      <c r="M343" s="7">
        <f t="shared" si="10"/>
        <v>84.9005848</v>
      </c>
      <c r="N343" s="7">
        <f t="shared" si="8"/>
        <v>-1.37808238</v>
      </c>
      <c r="O343" s="2" t="str">
        <f t="shared" si="9"/>
        <v>Acceptable</v>
      </c>
    </row>
    <row r="344" ht="15.75" customHeight="1">
      <c r="A344" s="1" t="s">
        <v>56</v>
      </c>
      <c r="B344" s="1" t="s">
        <v>16</v>
      </c>
      <c r="C344" s="1" t="s">
        <v>23</v>
      </c>
      <c r="D344" s="1">
        <v>1799.0</v>
      </c>
      <c r="E344" s="1">
        <v>1806.0</v>
      </c>
      <c r="F344" s="1">
        <f t="shared" si="2"/>
        <v>7</v>
      </c>
      <c r="G344" s="1">
        <f t="shared" si="3"/>
        <v>7</v>
      </c>
      <c r="H344" s="6">
        <f t="shared" si="4"/>
        <v>0.003891050584</v>
      </c>
      <c r="I344" s="6">
        <f t="shared" si="5"/>
        <v>0.9961089494</v>
      </c>
      <c r="J344" s="1">
        <f t="shared" si="6"/>
        <v>7</v>
      </c>
      <c r="K344" s="1" t="str">
        <f t="shared" si="7"/>
        <v>Over Forecast</v>
      </c>
      <c r="L344" s="1">
        <f>F344</f>
        <v>7</v>
      </c>
      <c r="M344" s="7">
        <f t="shared" si="10"/>
        <v>84.67346939</v>
      </c>
      <c r="N344" s="7">
        <f t="shared" si="8"/>
        <v>0.08267052302</v>
      </c>
      <c r="O344" s="2" t="str">
        <f t="shared" si="9"/>
        <v>Acceptable</v>
      </c>
    </row>
    <row r="345" ht="15.75" customHeight="1">
      <c r="A345" s="1" t="s">
        <v>56</v>
      </c>
      <c r="B345" s="1" t="s">
        <v>16</v>
      </c>
      <c r="C345" s="1" t="s">
        <v>24</v>
      </c>
      <c r="D345" s="1">
        <v>1876.0</v>
      </c>
      <c r="E345" s="1">
        <v>1856.0</v>
      </c>
      <c r="F345" s="1">
        <f t="shared" si="2"/>
        <v>-20</v>
      </c>
      <c r="G345" s="1">
        <f t="shared" si="3"/>
        <v>20</v>
      </c>
      <c r="H345" s="6">
        <f t="shared" si="4"/>
        <v>0.01066098081</v>
      </c>
      <c r="I345" s="6">
        <f t="shared" si="5"/>
        <v>0.9893390192</v>
      </c>
      <c r="J345" s="1">
        <f t="shared" si="6"/>
        <v>-20</v>
      </c>
      <c r="K345" s="1" t="str">
        <f t="shared" si="7"/>
        <v>Under Forecast</v>
      </c>
      <c r="L345" s="1">
        <f>F345+J344</f>
        <v>-13</v>
      </c>
      <c r="M345" s="7">
        <f t="shared" si="10"/>
        <v>84.48546512</v>
      </c>
      <c r="N345" s="7">
        <f t="shared" si="8"/>
        <v>-0.1538726215</v>
      </c>
      <c r="O345" s="2" t="str">
        <f t="shared" si="9"/>
        <v>Acceptable</v>
      </c>
    </row>
    <row r="346" ht="15.75" customHeight="1">
      <c r="A346" s="1" t="s">
        <v>56</v>
      </c>
      <c r="B346" s="1" t="s">
        <v>16</v>
      </c>
      <c r="C346" s="1" t="s">
        <v>25</v>
      </c>
      <c r="D346" s="1">
        <v>1641.0</v>
      </c>
      <c r="E346" s="1">
        <v>1575.0</v>
      </c>
      <c r="F346" s="1">
        <f t="shared" si="2"/>
        <v>-66</v>
      </c>
      <c r="G346" s="1">
        <f t="shared" si="3"/>
        <v>66</v>
      </c>
      <c r="H346" s="6">
        <f t="shared" si="4"/>
        <v>0.04021937843</v>
      </c>
      <c r="I346" s="6">
        <f t="shared" si="5"/>
        <v>0.9597806216</v>
      </c>
      <c r="J346" s="1">
        <f t="shared" si="6"/>
        <v>-66</v>
      </c>
      <c r="K346" s="1" t="str">
        <f t="shared" si="7"/>
        <v>Under Forecast</v>
      </c>
      <c r="L346" s="1">
        <f>F346</f>
        <v>-66</v>
      </c>
      <c r="M346" s="7">
        <f t="shared" si="10"/>
        <v>84.43188406</v>
      </c>
      <c r="N346" s="7">
        <f t="shared" si="8"/>
        <v>-0.7816952178</v>
      </c>
      <c r="O346" s="2" t="str">
        <f t="shared" si="9"/>
        <v>Acceptable</v>
      </c>
    </row>
    <row r="347" ht="15.75" customHeight="1">
      <c r="A347" s="1" t="s">
        <v>56</v>
      </c>
      <c r="B347" s="1" t="s">
        <v>16</v>
      </c>
      <c r="C347" s="1" t="s">
        <v>26</v>
      </c>
      <c r="D347" s="1">
        <v>1607.0</v>
      </c>
      <c r="E347" s="1">
        <v>1521.0</v>
      </c>
      <c r="F347" s="1">
        <f t="shared" si="2"/>
        <v>-86</v>
      </c>
      <c r="G347" s="1">
        <f t="shared" si="3"/>
        <v>86</v>
      </c>
      <c r="H347" s="6">
        <f t="shared" si="4"/>
        <v>0.05351586808</v>
      </c>
      <c r="I347" s="6">
        <f t="shared" si="5"/>
        <v>0.9464841319</v>
      </c>
      <c r="J347" s="1">
        <f t="shared" si="6"/>
        <v>-86</v>
      </c>
      <c r="K347" s="1" t="str">
        <f t="shared" si="7"/>
        <v>Under Forecast</v>
      </c>
      <c r="L347" s="1">
        <f>F347+J346</f>
        <v>-152</v>
      </c>
      <c r="M347" s="7">
        <f t="shared" si="10"/>
        <v>84.43641618</v>
      </c>
      <c r="N347" s="7">
        <f t="shared" si="8"/>
        <v>-1.800171145</v>
      </c>
      <c r="O347" s="2" t="str">
        <f t="shared" si="9"/>
        <v>Acceptable</v>
      </c>
    </row>
    <row r="348" ht="15.75" customHeight="1">
      <c r="A348" s="1" t="s">
        <v>56</v>
      </c>
      <c r="B348" s="1" t="s">
        <v>16</v>
      </c>
      <c r="C348" s="1" t="s">
        <v>27</v>
      </c>
      <c r="D348" s="1">
        <v>1505.0</v>
      </c>
      <c r="E348" s="1">
        <v>1467.0</v>
      </c>
      <c r="F348" s="1">
        <f t="shared" si="2"/>
        <v>-38</v>
      </c>
      <c r="G348" s="1">
        <f t="shared" si="3"/>
        <v>38</v>
      </c>
      <c r="H348" s="6">
        <f t="shared" si="4"/>
        <v>0.02524916944</v>
      </c>
      <c r="I348" s="6">
        <f t="shared" si="5"/>
        <v>0.9747508306</v>
      </c>
      <c r="J348" s="1">
        <f t="shared" si="6"/>
        <v>-38</v>
      </c>
      <c r="K348" s="1" t="str">
        <f t="shared" si="7"/>
        <v>Under Forecast</v>
      </c>
      <c r="L348" s="1">
        <f>F348</f>
        <v>-38</v>
      </c>
      <c r="M348" s="7">
        <f t="shared" si="10"/>
        <v>84.30259366</v>
      </c>
      <c r="N348" s="7">
        <f t="shared" si="8"/>
        <v>-0.4507571873</v>
      </c>
      <c r="O348" s="2" t="str">
        <f t="shared" si="9"/>
        <v>Acceptable</v>
      </c>
    </row>
    <row r="349" ht="15.75" customHeight="1">
      <c r="A349" s="1" t="s">
        <v>56</v>
      </c>
      <c r="B349" s="1" t="s">
        <v>16</v>
      </c>
      <c r="C349" s="1" t="s">
        <v>28</v>
      </c>
      <c r="D349" s="1">
        <v>1351.0</v>
      </c>
      <c r="E349" s="1">
        <v>1251.0</v>
      </c>
      <c r="F349" s="1">
        <f t="shared" si="2"/>
        <v>-100</v>
      </c>
      <c r="G349" s="1">
        <f t="shared" si="3"/>
        <v>100</v>
      </c>
      <c r="H349" s="6">
        <f t="shared" si="4"/>
        <v>0.074019245</v>
      </c>
      <c r="I349" s="6">
        <f t="shared" si="5"/>
        <v>0.925980755</v>
      </c>
      <c r="J349" s="1">
        <f t="shared" si="6"/>
        <v>-100</v>
      </c>
      <c r="K349" s="1" t="str">
        <f t="shared" si="7"/>
        <v>Under Forecast</v>
      </c>
      <c r="L349" s="1">
        <f>F349+J348</f>
        <v>-138</v>
      </c>
      <c r="M349" s="7">
        <f t="shared" si="10"/>
        <v>84.34770115</v>
      </c>
      <c r="N349" s="7">
        <f t="shared" si="8"/>
        <v>-1.636084898</v>
      </c>
      <c r="O349" s="2" t="str">
        <f t="shared" si="9"/>
        <v>Acceptable</v>
      </c>
    </row>
    <row r="350" ht="15.75" customHeight="1">
      <c r="A350" s="1" t="s">
        <v>57</v>
      </c>
      <c r="B350" s="1" t="s">
        <v>16</v>
      </c>
      <c r="C350" s="1" t="s">
        <v>17</v>
      </c>
      <c r="D350" s="1">
        <v>1914.0</v>
      </c>
      <c r="E350" s="1">
        <v>2010.0</v>
      </c>
      <c r="F350" s="1">
        <f t="shared" si="2"/>
        <v>96</v>
      </c>
      <c r="G350" s="1">
        <f t="shared" si="3"/>
        <v>96</v>
      </c>
      <c r="H350" s="6">
        <f t="shared" si="4"/>
        <v>0.05015673981</v>
      </c>
      <c r="I350" s="6">
        <f t="shared" si="5"/>
        <v>0.9498432602</v>
      </c>
      <c r="J350" s="1">
        <f t="shared" si="6"/>
        <v>96</v>
      </c>
      <c r="K350" s="1" t="str">
        <f t="shared" si="7"/>
        <v>Over Forecast</v>
      </c>
      <c r="L350" s="1">
        <f>F350</f>
        <v>96</v>
      </c>
      <c r="M350" s="7">
        <f t="shared" si="10"/>
        <v>84.38108883</v>
      </c>
      <c r="N350" s="7">
        <f t="shared" si="8"/>
        <v>1.137695677</v>
      </c>
      <c r="O350" s="2" t="str">
        <f t="shared" si="9"/>
        <v>Acceptable</v>
      </c>
    </row>
    <row r="351" ht="15.75" customHeight="1">
      <c r="A351" s="1" t="s">
        <v>57</v>
      </c>
      <c r="B351" s="1" t="s">
        <v>16</v>
      </c>
      <c r="C351" s="1" t="s">
        <v>18</v>
      </c>
      <c r="D351" s="1">
        <v>1745.0</v>
      </c>
      <c r="E351" s="1">
        <v>1696.0</v>
      </c>
      <c r="F351" s="1">
        <f t="shared" si="2"/>
        <v>-49</v>
      </c>
      <c r="G351" s="1">
        <f t="shared" si="3"/>
        <v>49</v>
      </c>
      <c r="H351" s="6">
        <f t="shared" si="4"/>
        <v>0.02808022923</v>
      </c>
      <c r="I351" s="6">
        <f t="shared" si="5"/>
        <v>0.9719197708</v>
      </c>
      <c r="J351" s="1">
        <f t="shared" si="6"/>
        <v>-49</v>
      </c>
      <c r="K351" s="1" t="str">
        <f t="shared" si="7"/>
        <v>Under Forecast</v>
      </c>
      <c r="L351" s="1">
        <f>F351+J350</f>
        <v>47</v>
      </c>
      <c r="M351" s="7">
        <f t="shared" si="10"/>
        <v>84.28</v>
      </c>
      <c r="N351" s="7">
        <f t="shared" si="8"/>
        <v>0.5576649264</v>
      </c>
      <c r="O351" s="2" t="str">
        <f t="shared" si="9"/>
        <v>Acceptable</v>
      </c>
    </row>
    <row r="352" ht="15.75" customHeight="1">
      <c r="A352" s="1" t="s">
        <v>57</v>
      </c>
      <c r="B352" s="1" t="s">
        <v>16</v>
      </c>
      <c r="C352" s="1" t="s">
        <v>19</v>
      </c>
      <c r="D352" s="1">
        <v>1978.0</v>
      </c>
      <c r="E352" s="1">
        <v>2075.0</v>
      </c>
      <c r="F352" s="1">
        <f t="shared" si="2"/>
        <v>97</v>
      </c>
      <c r="G352" s="1">
        <f t="shared" si="3"/>
        <v>97</v>
      </c>
      <c r="H352" s="6">
        <f t="shared" si="4"/>
        <v>0.04903943377</v>
      </c>
      <c r="I352" s="6">
        <f t="shared" si="5"/>
        <v>0.9509605662</v>
      </c>
      <c r="J352" s="1">
        <f t="shared" si="6"/>
        <v>97</v>
      </c>
      <c r="K352" s="1" t="str">
        <f t="shared" si="7"/>
        <v>Over Forecast</v>
      </c>
      <c r="L352" s="1">
        <f>F352</f>
        <v>97</v>
      </c>
      <c r="M352" s="7">
        <f t="shared" si="10"/>
        <v>84.31623932</v>
      </c>
      <c r="N352" s="7">
        <f t="shared" si="8"/>
        <v>1.150430816</v>
      </c>
      <c r="O352" s="2" t="str">
        <f t="shared" si="9"/>
        <v>Acceptable</v>
      </c>
    </row>
    <row r="353" ht="15.75" customHeight="1">
      <c r="A353" s="1" t="s">
        <v>57</v>
      </c>
      <c r="B353" s="1" t="s">
        <v>16</v>
      </c>
      <c r="C353" s="1" t="s">
        <v>20</v>
      </c>
      <c r="D353" s="1">
        <v>1926.0</v>
      </c>
      <c r="E353" s="1">
        <v>2105.0</v>
      </c>
      <c r="F353" s="1">
        <f t="shared" si="2"/>
        <v>179</v>
      </c>
      <c r="G353" s="1">
        <f t="shared" si="3"/>
        <v>179</v>
      </c>
      <c r="H353" s="6">
        <f t="shared" si="4"/>
        <v>0.09293873313</v>
      </c>
      <c r="I353" s="6">
        <f t="shared" si="5"/>
        <v>0.9070612669</v>
      </c>
      <c r="J353" s="1">
        <f t="shared" si="6"/>
        <v>179</v>
      </c>
      <c r="K353" s="1" t="str">
        <f t="shared" si="7"/>
        <v>Over Forecast</v>
      </c>
      <c r="L353" s="1">
        <f>F353+J352</f>
        <v>276</v>
      </c>
      <c r="M353" s="7">
        <f t="shared" si="10"/>
        <v>84.58522727</v>
      </c>
      <c r="N353" s="7">
        <f t="shared" si="8"/>
        <v>3.262981124</v>
      </c>
      <c r="O353" s="2" t="str">
        <f t="shared" si="9"/>
        <v>Acceptable</v>
      </c>
    </row>
    <row r="354" ht="15.75" customHeight="1">
      <c r="A354" s="1" t="s">
        <v>57</v>
      </c>
      <c r="B354" s="1" t="s">
        <v>16</v>
      </c>
      <c r="C354" s="1" t="s">
        <v>21</v>
      </c>
      <c r="D354" s="1">
        <v>2071.0</v>
      </c>
      <c r="E354" s="1">
        <v>2017.0</v>
      </c>
      <c r="F354" s="1">
        <f t="shared" si="2"/>
        <v>-54</v>
      </c>
      <c r="G354" s="1">
        <f t="shared" si="3"/>
        <v>54</v>
      </c>
      <c r="H354" s="6">
        <f t="shared" si="4"/>
        <v>0.02607436021</v>
      </c>
      <c r="I354" s="6">
        <f t="shared" si="5"/>
        <v>0.9739256398</v>
      </c>
      <c r="J354" s="1">
        <f t="shared" si="6"/>
        <v>-54</v>
      </c>
      <c r="K354" s="1" t="str">
        <f t="shared" si="7"/>
        <v>Under Forecast</v>
      </c>
      <c r="L354" s="1">
        <f>F354</f>
        <v>-54</v>
      </c>
      <c r="M354" s="7">
        <f t="shared" si="10"/>
        <v>84.49858357</v>
      </c>
      <c r="N354" s="7">
        <f t="shared" si="8"/>
        <v>-0.6390639667</v>
      </c>
      <c r="O354" s="2" t="str">
        <f t="shared" si="9"/>
        <v>Acceptable</v>
      </c>
    </row>
    <row r="355" ht="15.75" customHeight="1">
      <c r="A355" s="1" t="s">
        <v>57</v>
      </c>
      <c r="B355" s="1" t="s">
        <v>16</v>
      </c>
      <c r="C355" s="1" t="s">
        <v>22</v>
      </c>
      <c r="D355" s="1">
        <v>1908.0</v>
      </c>
      <c r="E355" s="1">
        <v>1888.0</v>
      </c>
      <c r="F355" s="1">
        <f t="shared" si="2"/>
        <v>-20</v>
      </c>
      <c r="G355" s="1">
        <f t="shared" si="3"/>
        <v>20</v>
      </c>
      <c r="H355" s="6">
        <f t="shared" si="4"/>
        <v>0.01048218029</v>
      </c>
      <c r="I355" s="6">
        <f t="shared" si="5"/>
        <v>0.9895178197</v>
      </c>
      <c r="J355" s="1">
        <f t="shared" si="6"/>
        <v>-20</v>
      </c>
      <c r="K355" s="1" t="str">
        <f t="shared" si="7"/>
        <v>Under Forecast</v>
      </c>
      <c r="L355" s="1">
        <f>F355+J354</f>
        <v>-74</v>
      </c>
      <c r="M355" s="7">
        <f t="shared" si="10"/>
        <v>84.31638418</v>
      </c>
      <c r="N355" s="7">
        <f t="shared" si="8"/>
        <v>-0.8776467435</v>
      </c>
      <c r="O355" s="2" t="str">
        <f t="shared" si="9"/>
        <v>Acceptable</v>
      </c>
    </row>
    <row r="356" ht="15.75" customHeight="1">
      <c r="A356" s="1" t="s">
        <v>57</v>
      </c>
      <c r="B356" s="1" t="s">
        <v>16</v>
      </c>
      <c r="C356" s="1" t="s">
        <v>23</v>
      </c>
      <c r="D356" s="1">
        <v>2106.0</v>
      </c>
      <c r="E356" s="1">
        <v>2011.0</v>
      </c>
      <c r="F356" s="1">
        <f t="shared" si="2"/>
        <v>-95</v>
      </c>
      <c r="G356" s="1">
        <f t="shared" si="3"/>
        <v>95</v>
      </c>
      <c r="H356" s="6">
        <f t="shared" si="4"/>
        <v>0.04510921178</v>
      </c>
      <c r="I356" s="6">
        <f t="shared" si="5"/>
        <v>0.9548907882</v>
      </c>
      <c r="J356" s="1">
        <f t="shared" si="6"/>
        <v>-95</v>
      </c>
      <c r="K356" s="1" t="str">
        <f t="shared" si="7"/>
        <v>Under Forecast</v>
      </c>
      <c r="L356" s="1">
        <f>F356</f>
        <v>-95</v>
      </c>
      <c r="M356" s="7">
        <f t="shared" si="10"/>
        <v>84.34647887</v>
      </c>
      <c r="N356" s="7">
        <f t="shared" si="8"/>
        <v>-1.126306649</v>
      </c>
      <c r="O356" s="2" t="str">
        <f t="shared" si="9"/>
        <v>Acceptable</v>
      </c>
    </row>
    <row r="357" ht="15.75" customHeight="1">
      <c r="A357" s="1" t="s">
        <v>57</v>
      </c>
      <c r="B357" s="1" t="s">
        <v>16</v>
      </c>
      <c r="C357" s="1" t="s">
        <v>24</v>
      </c>
      <c r="D357" s="1">
        <v>1953.0</v>
      </c>
      <c r="E357" s="1">
        <v>2093.0</v>
      </c>
      <c r="F357" s="1">
        <f t="shared" si="2"/>
        <v>140</v>
      </c>
      <c r="G357" s="1">
        <f t="shared" si="3"/>
        <v>140</v>
      </c>
      <c r="H357" s="6">
        <f t="shared" si="4"/>
        <v>0.07168458781</v>
      </c>
      <c r="I357" s="6">
        <f t="shared" si="5"/>
        <v>0.9283154122</v>
      </c>
      <c r="J357" s="1">
        <f t="shared" si="6"/>
        <v>140</v>
      </c>
      <c r="K357" s="1" t="str">
        <f t="shared" si="7"/>
        <v>Over Forecast</v>
      </c>
      <c r="L357" s="1">
        <f>F357+J356</f>
        <v>45</v>
      </c>
      <c r="M357" s="7">
        <f t="shared" si="10"/>
        <v>84.50280899</v>
      </c>
      <c r="N357" s="7">
        <f t="shared" si="8"/>
        <v>0.5325266762</v>
      </c>
      <c r="O357" s="2" t="str">
        <f t="shared" si="9"/>
        <v>Acceptable</v>
      </c>
    </row>
    <row r="358" ht="15.75" customHeight="1">
      <c r="A358" s="1" t="s">
        <v>57</v>
      </c>
      <c r="B358" s="1" t="s">
        <v>16</v>
      </c>
      <c r="C358" s="1" t="s">
        <v>25</v>
      </c>
      <c r="D358" s="1">
        <v>1946.0</v>
      </c>
      <c r="E358" s="1">
        <v>1955.0</v>
      </c>
      <c r="F358" s="1">
        <f t="shared" si="2"/>
        <v>9</v>
      </c>
      <c r="G358" s="1">
        <f t="shared" si="3"/>
        <v>9</v>
      </c>
      <c r="H358" s="6">
        <f t="shared" si="4"/>
        <v>0.004624871531</v>
      </c>
      <c r="I358" s="6">
        <f t="shared" si="5"/>
        <v>0.9953751285</v>
      </c>
      <c r="J358" s="1">
        <f t="shared" si="6"/>
        <v>9</v>
      </c>
      <c r="K358" s="1" t="str">
        <f t="shared" si="7"/>
        <v>Over Forecast</v>
      </c>
      <c r="L358" s="1">
        <f>F358</f>
        <v>9</v>
      </c>
      <c r="M358" s="7">
        <f t="shared" si="10"/>
        <v>84.29131653</v>
      </c>
      <c r="N358" s="7">
        <f t="shared" si="8"/>
        <v>0.1067725641</v>
      </c>
      <c r="O358" s="2" t="str">
        <f t="shared" si="9"/>
        <v>Acceptable</v>
      </c>
    </row>
    <row r="359" ht="15.75" customHeight="1">
      <c r="A359" s="1" t="s">
        <v>57</v>
      </c>
      <c r="B359" s="1" t="s">
        <v>16</v>
      </c>
      <c r="C359" s="1" t="s">
        <v>26</v>
      </c>
      <c r="D359" s="1">
        <v>1878.0</v>
      </c>
      <c r="E359" s="1">
        <v>1817.0</v>
      </c>
      <c r="F359" s="1">
        <f t="shared" si="2"/>
        <v>-61</v>
      </c>
      <c r="G359" s="1">
        <f t="shared" si="3"/>
        <v>61</v>
      </c>
      <c r="H359" s="6">
        <f t="shared" si="4"/>
        <v>0.03248136315</v>
      </c>
      <c r="I359" s="6">
        <f t="shared" si="5"/>
        <v>0.9675186368</v>
      </c>
      <c r="J359" s="1">
        <f t="shared" si="6"/>
        <v>-61</v>
      </c>
      <c r="K359" s="1" t="str">
        <f t="shared" si="7"/>
        <v>Under Forecast</v>
      </c>
      <c r="L359" s="1">
        <f>F359+J358</f>
        <v>-52</v>
      </c>
      <c r="M359" s="7">
        <f t="shared" si="10"/>
        <v>84.22625698</v>
      </c>
      <c r="N359" s="7">
        <f t="shared" si="8"/>
        <v>-0.6173846715</v>
      </c>
      <c r="O359" s="2" t="str">
        <f t="shared" si="9"/>
        <v>Acceptable</v>
      </c>
    </row>
    <row r="360" ht="15.75" customHeight="1">
      <c r="A360" s="1" t="s">
        <v>57</v>
      </c>
      <c r="B360" s="1" t="s">
        <v>16</v>
      </c>
      <c r="C360" s="1" t="s">
        <v>27</v>
      </c>
      <c r="D360" s="1">
        <v>1839.0</v>
      </c>
      <c r="E360" s="1">
        <v>1784.0</v>
      </c>
      <c r="F360" s="1">
        <f t="shared" si="2"/>
        <v>-55</v>
      </c>
      <c r="G360" s="1">
        <f t="shared" si="3"/>
        <v>55</v>
      </c>
      <c r="H360" s="6">
        <f t="shared" si="4"/>
        <v>0.02990755846</v>
      </c>
      <c r="I360" s="6">
        <f t="shared" si="5"/>
        <v>0.9700924415</v>
      </c>
      <c r="J360" s="1">
        <f t="shared" si="6"/>
        <v>-55</v>
      </c>
      <c r="K360" s="1" t="str">
        <f t="shared" si="7"/>
        <v>Under Forecast</v>
      </c>
      <c r="L360" s="1">
        <f>F360</f>
        <v>-55</v>
      </c>
      <c r="M360" s="7">
        <f t="shared" si="10"/>
        <v>84.1448468</v>
      </c>
      <c r="N360" s="7">
        <f t="shared" si="8"/>
        <v>-0.6536347987</v>
      </c>
      <c r="O360" s="2" t="str">
        <f t="shared" si="9"/>
        <v>Acceptable</v>
      </c>
    </row>
    <row r="361" ht="15.75" customHeight="1">
      <c r="A361" s="1" t="s">
        <v>57</v>
      </c>
      <c r="B361" s="1" t="s">
        <v>16</v>
      </c>
      <c r="C361" s="1" t="s">
        <v>28</v>
      </c>
      <c r="D361" s="1">
        <v>1625.0</v>
      </c>
      <c r="E361" s="1">
        <v>1751.0</v>
      </c>
      <c r="F361" s="1">
        <f t="shared" si="2"/>
        <v>126</v>
      </c>
      <c r="G361" s="1">
        <f t="shared" si="3"/>
        <v>126</v>
      </c>
      <c r="H361" s="6">
        <f t="shared" si="4"/>
        <v>0.07753846154</v>
      </c>
      <c r="I361" s="6">
        <f t="shared" si="5"/>
        <v>0.9224615385</v>
      </c>
      <c r="J361" s="1">
        <f t="shared" si="6"/>
        <v>126</v>
      </c>
      <c r="K361" s="1" t="str">
        <f t="shared" si="7"/>
        <v>Over Forecast</v>
      </c>
      <c r="L361" s="1">
        <f>F361+J360</f>
        <v>71</v>
      </c>
      <c r="M361" s="7">
        <f t="shared" si="10"/>
        <v>84.26111111</v>
      </c>
      <c r="N361" s="7">
        <f t="shared" si="8"/>
        <v>0.8426188435</v>
      </c>
      <c r="O361" s="2" t="str">
        <f t="shared" si="9"/>
        <v>Acceptable</v>
      </c>
    </row>
    <row r="362" ht="15.75" customHeight="1">
      <c r="A362" s="1" t="s">
        <v>58</v>
      </c>
      <c r="B362" s="1" t="s">
        <v>16</v>
      </c>
      <c r="C362" s="1" t="s">
        <v>17</v>
      </c>
      <c r="D362" s="1">
        <v>1962.0</v>
      </c>
      <c r="E362" s="1">
        <v>2031.0</v>
      </c>
      <c r="F362" s="1">
        <f t="shared" si="2"/>
        <v>69</v>
      </c>
      <c r="G362" s="1">
        <f t="shared" si="3"/>
        <v>69</v>
      </c>
      <c r="H362" s="6">
        <f t="shared" si="4"/>
        <v>0.03516819572</v>
      </c>
      <c r="I362" s="6">
        <f t="shared" si="5"/>
        <v>0.9648318043</v>
      </c>
      <c r="J362" s="1">
        <f t="shared" si="6"/>
        <v>69</v>
      </c>
      <c r="K362" s="1" t="str">
        <f t="shared" si="7"/>
        <v>Over Forecast</v>
      </c>
      <c r="L362" s="1">
        <f>F362</f>
        <v>69</v>
      </c>
      <c r="M362" s="7">
        <f t="shared" si="10"/>
        <v>84.21883657</v>
      </c>
      <c r="N362" s="7">
        <f t="shared" si="8"/>
        <v>0.8192941486</v>
      </c>
      <c r="O362" s="2" t="str">
        <f t="shared" si="9"/>
        <v>Acceptable</v>
      </c>
    </row>
    <row r="363" ht="15.75" customHeight="1">
      <c r="A363" s="1" t="s">
        <v>58</v>
      </c>
      <c r="B363" s="1" t="s">
        <v>16</v>
      </c>
      <c r="C363" s="1" t="s">
        <v>18</v>
      </c>
      <c r="D363" s="1">
        <v>1991.0</v>
      </c>
      <c r="E363" s="1">
        <v>2052.0</v>
      </c>
      <c r="F363" s="1">
        <f t="shared" si="2"/>
        <v>61</v>
      </c>
      <c r="G363" s="1">
        <f t="shared" si="3"/>
        <v>61</v>
      </c>
      <c r="H363" s="6">
        <f t="shared" si="4"/>
        <v>0.03063787042</v>
      </c>
      <c r="I363" s="6">
        <f t="shared" si="5"/>
        <v>0.9693621296</v>
      </c>
      <c r="J363" s="1">
        <f t="shared" si="6"/>
        <v>61</v>
      </c>
      <c r="K363" s="1" t="str">
        <f t="shared" si="7"/>
        <v>Over Forecast</v>
      </c>
      <c r="L363" s="1">
        <f>F363+J362</f>
        <v>130</v>
      </c>
      <c r="M363" s="7">
        <f t="shared" si="10"/>
        <v>84.15469613</v>
      </c>
      <c r="N363" s="7">
        <f t="shared" si="8"/>
        <v>1.54477416</v>
      </c>
      <c r="O363" s="2" t="str">
        <f t="shared" si="9"/>
        <v>Acceptable</v>
      </c>
    </row>
    <row r="364" ht="15.75" customHeight="1">
      <c r="A364" s="1" t="s">
        <v>58</v>
      </c>
      <c r="B364" s="1" t="s">
        <v>16</v>
      </c>
      <c r="C364" s="1" t="s">
        <v>19</v>
      </c>
      <c r="D364" s="1">
        <v>2031.0</v>
      </c>
      <c r="E364" s="1">
        <v>1950.0</v>
      </c>
      <c r="F364" s="1">
        <f t="shared" si="2"/>
        <v>-81</v>
      </c>
      <c r="G364" s="1">
        <f t="shared" si="3"/>
        <v>81</v>
      </c>
      <c r="H364" s="6">
        <f t="shared" si="4"/>
        <v>0.03988183161</v>
      </c>
      <c r="I364" s="6">
        <f t="shared" si="5"/>
        <v>0.9601181684</v>
      </c>
      <c r="J364" s="1">
        <f t="shared" si="6"/>
        <v>-81</v>
      </c>
      <c r="K364" s="1" t="str">
        <f t="shared" si="7"/>
        <v>Under Forecast</v>
      </c>
      <c r="L364" s="1">
        <f>F364</f>
        <v>-81</v>
      </c>
      <c r="M364" s="7">
        <f t="shared" si="10"/>
        <v>84.14600551</v>
      </c>
      <c r="N364" s="7">
        <f t="shared" si="8"/>
        <v>-0.9626125389</v>
      </c>
      <c r="O364" s="2" t="str">
        <f t="shared" si="9"/>
        <v>Acceptable</v>
      </c>
    </row>
    <row r="365" ht="15.75" customHeight="1">
      <c r="A365" s="1" t="s">
        <v>58</v>
      </c>
      <c r="B365" s="1" t="s">
        <v>16</v>
      </c>
      <c r="C365" s="1" t="s">
        <v>20</v>
      </c>
      <c r="D365" s="1">
        <v>2008.0</v>
      </c>
      <c r="E365" s="1">
        <v>1905.0</v>
      </c>
      <c r="F365" s="1">
        <f t="shared" si="2"/>
        <v>-103</v>
      </c>
      <c r="G365" s="1">
        <f t="shared" si="3"/>
        <v>103</v>
      </c>
      <c r="H365" s="6">
        <f t="shared" si="4"/>
        <v>0.05129482072</v>
      </c>
      <c r="I365" s="6">
        <f t="shared" si="5"/>
        <v>0.9487051793</v>
      </c>
      <c r="J365" s="1">
        <f t="shared" si="6"/>
        <v>-103</v>
      </c>
      <c r="K365" s="1" t="str">
        <f t="shared" si="7"/>
        <v>Under Forecast</v>
      </c>
      <c r="L365" s="1">
        <f>F365+J364</f>
        <v>-184</v>
      </c>
      <c r="M365" s="7">
        <f t="shared" si="10"/>
        <v>84.1978022</v>
      </c>
      <c r="N365" s="7">
        <f t="shared" si="8"/>
        <v>-2.185330201</v>
      </c>
      <c r="O365" s="2" t="str">
        <f t="shared" si="9"/>
        <v>Acceptable</v>
      </c>
    </row>
    <row r="366" ht="15.75" customHeight="1">
      <c r="A366" s="1" t="s">
        <v>58</v>
      </c>
      <c r="B366" s="1" t="s">
        <v>16</v>
      </c>
      <c r="C366" s="1" t="s">
        <v>21</v>
      </c>
      <c r="D366" s="1">
        <v>2303.0</v>
      </c>
      <c r="E366" s="1">
        <v>2333.0</v>
      </c>
      <c r="F366" s="1">
        <f t="shared" si="2"/>
        <v>30</v>
      </c>
      <c r="G366" s="1">
        <f t="shared" si="3"/>
        <v>30</v>
      </c>
      <c r="H366" s="6">
        <f t="shared" si="4"/>
        <v>0.01302648719</v>
      </c>
      <c r="I366" s="6">
        <f t="shared" si="5"/>
        <v>0.9869735128</v>
      </c>
      <c r="J366" s="1">
        <f t="shared" si="6"/>
        <v>30</v>
      </c>
      <c r="K366" s="1" t="str">
        <f t="shared" si="7"/>
        <v>Over Forecast</v>
      </c>
      <c r="L366" s="1">
        <f>F366</f>
        <v>30</v>
      </c>
      <c r="M366" s="7">
        <f t="shared" si="10"/>
        <v>84.04931507</v>
      </c>
      <c r="N366" s="7">
        <f t="shared" si="8"/>
        <v>0.3569333073</v>
      </c>
      <c r="O366" s="2" t="str">
        <f t="shared" si="9"/>
        <v>Acceptable</v>
      </c>
    </row>
    <row r="367" ht="15.75" customHeight="1">
      <c r="A367" s="1" t="s">
        <v>58</v>
      </c>
      <c r="B367" s="1" t="s">
        <v>16</v>
      </c>
      <c r="C367" s="1" t="s">
        <v>22</v>
      </c>
      <c r="D367" s="1">
        <v>2124.0</v>
      </c>
      <c r="E367" s="1">
        <v>2111.0</v>
      </c>
      <c r="F367" s="1">
        <f t="shared" si="2"/>
        <v>-13</v>
      </c>
      <c r="G367" s="1">
        <f t="shared" si="3"/>
        <v>13</v>
      </c>
      <c r="H367" s="6">
        <f t="shared" si="4"/>
        <v>0.006120527307</v>
      </c>
      <c r="I367" s="6">
        <f t="shared" si="5"/>
        <v>0.9938794727</v>
      </c>
      <c r="J367" s="1">
        <f t="shared" si="6"/>
        <v>-13</v>
      </c>
      <c r="K367" s="1" t="str">
        <f t="shared" si="7"/>
        <v>Under Forecast</v>
      </c>
      <c r="L367" s="1">
        <f>F367+J366</f>
        <v>17</v>
      </c>
      <c r="M367" s="7">
        <f t="shared" si="10"/>
        <v>83.85519126</v>
      </c>
      <c r="N367" s="7">
        <f t="shared" si="8"/>
        <v>0.2027304421</v>
      </c>
      <c r="O367" s="2" t="str">
        <f t="shared" si="9"/>
        <v>Acceptable</v>
      </c>
    </row>
    <row r="368" ht="15.75" customHeight="1">
      <c r="A368" s="1" t="s">
        <v>58</v>
      </c>
      <c r="B368" s="1" t="s">
        <v>16</v>
      </c>
      <c r="C368" s="1" t="s">
        <v>23</v>
      </c>
      <c r="D368" s="1">
        <v>2401.0</v>
      </c>
      <c r="E368" s="1">
        <v>2267.0</v>
      </c>
      <c r="F368" s="1">
        <f t="shared" si="2"/>
        <v>-134</v>
      </c>
      <c r="G368" s="1">
        <f t="shared" si="3"/>
        <v>134</v>
      </c>
      <c r="H368" s="6">
        <f t="shared" si="4"/>
        <v>0.05581007913</v>
      </c>
      <c r="I368" s="6">
        <f t="shared" si="5"/>
        <v>0.9441899209</v>
      </c>
      <c r="J368" s="1">
        <f t="shared" si="6"/>
        <v>-134</v>
      </c>
      <c r="K368" s="1" t="str">
        <f t="shared" si="7"/>
        <v>Under Forecast</v>
      </c>
      <c r="L368" s="1">
        <f>F368</f>
        <v>-134</v>
      </c>
      <c r="M368" s="7">
        <f t="shared" si="10"/>
        <v>83.99182561</v>
      </c>
      <c r="N368" s="7">
        <f t="shared" si="8"/>
        <v>-1.59539335</v>
      </c>
      <c r="O368" s="2" t="str">
        <f t="shared" si="9"/>
        <v>Acceptable</v>
      </c>
    </row>
    <row r="369" ht="15.75" customHeight="1">
      <c r="A369" s="1" t="s">
        <v>58</v>
      </c>
      <c r="B369" s="1" t="s">
        <v>16</v>
      </c>
      <c r="C369" s="1" t="s">
        <v>24</v>
      </c>
      <c r="D369" s="1">
        <v>2160.0</v>
      </c>
      <c r="E369" s="1">
        <v>2162.0</v>
      </c>
      <c r="F369" s="1">
        <f t="shared" si="2"/>
        <v>2</v>
      </c>
      <c r="G369" s="1">
        <f t="shared" si="3"/>
        <v>2</v>
      </c>
      <c r="H369" s="6">
        <f t="shared" si="4"/>
        <v>0.0009259259259</v>
      </c>
      <c r="I369" s="6">
        <f t="shared" si="5"/>
        <v>0.9990740741</v>
      </c>
      <c r="J369" s="1">
        <f t="shared" si="6"/>
        <v>2</v>
      </c>
      <c r="K369" s="1" t="str">
        <f t="shared" si="7"/>
        <v>Over Forecast</v>
      </c>
      <c r="L369" s="1">
        <f>F369+J368</f>
        <v>-132</v>
      </c>
      <c r="M369" s="7">
        <f t="shared" si="10"/>
        <v>83.76902174</v>
      </c>
      <c r="N369" s="7">
        <f t="shared" si="8"/>
        <v>-1.575761508</v>
      </c>
      <c r="O369" s="2" t="str">
        <f t="shared" si="9"/>
        <v>Acceptable</v>
      </c>
    </row>
    <row r="370" ht="15.75" customHeight="1">
      <c r="A370" s="1" t="s">
        <v>58</v>
      </c>
      <c r="B370" s="1" t="s">
        <v>16</v>
      </c>
      <c r="C370" s="1" t="s">
        <v>25</v>
      </c>
      <c r="D370" s="1">
        <v>2049.0</v>
      </c>
      <c r="E370" s="1">
        <v>1891.0</v>
      </c>
      <c r="F370" s="1">
        <f t="shared" si="2"/>
        <v>-158</v>
      </c>
      <c r="G370" s="1">
        <f t="shared" si="3"/>
        <v>158</v>
      </c>
      <c r="H370" s="6">
        <f t="shared" si="4"/>
        <v>0.07711078575</v>
      </c>
      <c r="I370" s="6">
        <f t="shared" si="5"/>
        <v>0.9228892143</v>
      </c>
      <c r="J370" s="1">
        <f t="shared" si="6"/>
        <v>-158</v>
      </c>
      <c r="K370" s="1" t="str">
        <f t="shared" si="7"/>
        <v>Under Forecast</v>
      </c>
      <c r="L370" s="1">
        <f>F370</f>
        <v>-158</v>
      </c>
      <c r="M370" s="7">
        <f t="shared" si="10"/>
        <v>83.9701897</v>
      </c>
      <c r="N370" s="7">
        <f t="shared" si="8"/>
        <v>-1.881620139</v>
      </c>
      <c r="O370" s="2" t="str">
        <f t="shared" si="9"/>
        <v>Acceptable</v>
      </c>
    </row>
    <row r="371" ht="15.75" customHeight="1">
      <c r="A371" s="1" t="s">
        <v>58</v>
      </c>
      <c r="B371" s="1" t="s">
        <v>16</v>
      </c>
      <c r="C371" s="1" t="s">
        <v>26</v>
      </c>
      <c r="D371" s="1">
        <v>2109.0</v>
      </c>
      <c r="E371" s="1">
        <v>2254.0</v>
      </c>
      <c r="F371" s="1">
        <f t="shared" si="2"/>
        <v>145</v>
      </c>
      <c r="G371" s="1">
        <f t="shared" si="3"/>
        <v>145</v>
      </c>
      <c r="H371" s="6">
        <f t="shared" si="4"/>
        <v>0.06875296349</v>
      </c>
      <c r="I371" s="6">
        <f t="shared" si="5"/>
        <v>0.9312470365</v>
      </c>
      <c r="J371" s="1">
        <f t="shared" si="6"/>
        <v>145</v>
      </c>
      <c r="K371" s="1" t="str">
        <f t="shared" si="7"/>
        <v>Over Forecast</v>
      </c>
      <c r="L371" s="1">
        <f>F371+J370</f>
        <v>-13</v>
      </c>
      <c r="M371" s="7">
        <f t="shared" si="10"/>
        <v>84.13513514</v>
      </c>
      <c r="N371" s="7">
        <f t="shared" si="8"/>
        <v>-0.1545133312</v>
      </c>
      <c r="O371" s="2" t="str">
        <f t="shared" si="9"/>
        <v>Acceptable</v>
      </c>
    </row>
    <row r="372" ht="15.75" customHeight="1">
      <c r="A372" s="1" t="s">
        <v>58</v>
      </c>
      <c r="B372" s="1" t="s">
        <v>16</v>
      </c>
      <c r="C372" s="1" t="s">
        <v>27</v>
      </c>
      <c r="D372" s="1">
        <v>1947.0</v>
      </c>
      <c r="E372" s="1">
        <v>2008.0</v>
      </c>
      <c r="F372" s="1">
        <f t="shared" si="2"/>
        <v>61</v>
      </c>
      <c r="G372" s="1">
        <f t="shared" si="3"/>
        <v>61</v>
      </c>
      <c r="H372" s="6">
        <f t="shared" si="4"/>
        <v>0.03133025167</v>
      </c>
      <c r="I372" s="6">
        <f t="shared" si="5"/>
        <v>0.9686697483</v>
      </c>
      <c r="J372" s="1">
        <f t="shared" si="6"/>
        <v>61</v>
      </c>
      <c r="K372" s="1" t="str">
        <f t="shared" si="7"/>
        <v>Over Forecast</v>
      </c>
      <c r="L372" s="1">
        <f>F372</f>
        <v>61</v>
      </c>
      <c r="M372" s="7">
        <f t="shared" si="10"/>
        <v>84.07277628</v>
      </c>
      <c r="N372" s="7">
        <f t="shared" si="8"/>
        <v>0.7255618608</v>
      </c>
      <c r="O372" s="2" t="str">
        <f t="shared" si="9"/>
        <v>Acceptable</v>
      </c>
    </row>
    <row r="373" ht="15.75" customHeight="1">
      <c r="A373" s="1" t="s">
        <v>58</v>
      </c>
      <c r="B373" s="1" t="s">
        <v>16</v>
      </c>
      <c r="C373" s="1" t="s">
        <v>28</v>
      </c>
      <c r="D373" s="1">
        <v>2019.0</v>
      </c>
      <c r="E373" s="1">
        <v>2085.0</v>
      </c>
      <c r="F373" s="1">
        <f t="shared" si="2"/>
        <v>66</v>
      </c>
      <c r="G373" s="1">
        <f t="shared" si="3"/>
        <v>66</v>
      </c>
      <c r="H373" s="6">
        <f t="shared" si="4"/>
        <v>0.03268945022</v>
      </c>
      <c r="I373" s="6">
        <f t="shared" si="5"/>
        <v>0.9673105498</v>
      </c>
      <c r="J373" s="1">
        <f t="shared" si="6"/>
        <v>66</v>
      </c>
      <c r="K373" s="1" t="str">
        <f t="shared" si="7"/>
        <v>Over Forecast</v>
      </c>
      <c r="L373" s="1">
        <f>F373+J372</f>
        <v>127</v>
      </c>
      <c r="M373" s="7">
        <f t="shared" si="10"/>
        <v>84.02419355</v>
      </c>
      <c r="N373" s="7">
        <f t="shared" si="8"/>
        <v>1.511469431</v>
      </c>
      <c r="O373" s="2" t="str">
        <f t="shared" si="9"/>
        <v>Acceptable</v>
      </c>
    </row>
    <row r="374" ht="15.75" customHeight="1">
      <c r="A374" s="1" t="s">
        <v>59</v>
      </c>
      <c r="B374" s="1" t="s">
        <v>16</v>
      </c>
      <c r="C374" s="1" t="s">
        <v>17</v>
      </c>
      <c r="D374" s="1">
        <v>1823.0</v>
      </c>
      <c r="E374" s="1">
        <v>1697.0</v>
      </c>
      <c r="F374" s="1">
        <f t="shared" si="2"/>
        <v>-126</v>
      </c>
      <c r="G374" s="1">
        <f t="shared" si="3"/>
        <v>126</v>
      </c>
      <c r="H374" s="6">
        <f t="shared" si="4"/>
        <v>0.06911684037</v>
      </c>
      <c r="I374" s="6">
        <f t="shared" si="5"/>
        <v>0.9308831596</v>
      </c>
      <c r="J374" s="1">
        <f t="shared" si="6"/>
        <v>-126</v>
      </c>
      <c r="K374" s="1" t="str">
        <f t="shared" si="7"/>
        <v>Under Forecast</v>
      </c>
      <c r="L374" s="1">
        <f>F374</f>
        <v>-126</v>
      </c>
      <c r="M374" s="7">
        <f t="shared" si="10"/>
        <v>84.13672922</v>
      </c>
      <c r="N374" s="7">
        <f t="shared" si="8"/>
        <v>-1.497562375</v>
      </c>
      <c r="O374" s="2" t="str">
        <f t="shared" si="9"/>
        <v>Acceptable</v>
      </c>
    </row>
    <row r="375" ht="15.75" customHeight="1">
      <c r="A375" s="1" t="s">
        <v>59</v>
      </c>
      <c r="B375" s="1" t="s">
        <v>16</v>
      </c>
      <c r="C375" s="1" t="s">
        <v>18</v>
      </c>
      <c r="D375" s="1">
        <v>1803.0</v>
      </c>
      <c r="E375" s="1">
        <v>1688.0</v>
      </c>
      <c r="F375" s="1">
        <f t="shared" si="2"/>
        <v>-115</v>
      </c>
      <c r="G375" s="1">
        <f t="shared" si="3"/>
        <v>115</v>
      </c>
      <c r="H375" s="6">
        <f t="shared" si="4"/>
        <v>0.06378258458</v>
      </c>
      <c r="I375" s="6">
        <f t="shared" si="5"/>
        <v>0.9362174154</v>
      </c>
      <c r="J375" s="1">
        <f t="shared" si="6"/>
        <v>-115</v>
      </c>
      <c r="K375" s="1" t="str">
        <f t="shared" si="7"/>
        <v>Under Forecast</v>
      </c>
      <c r="L375" s="1">
        <f>F375+J374</f>
        <v>-241</v>
      </c>
      <c r="M375" s="7">
        <f t="shared" si="10"/>
        <v>84.21925134</v>
      </c>
      <c r="N375" s="7">
        <f t="shared" si="8"/>
        <v>-2.861578513</v>
      </c>
      <c r="O375" s="2" t="str">
        <f t="shared" si="9"/>
        <v>Acceptable</v>
      </c>
    </row>
    <row r="376" ht="15.75" customHeight="1">
      <c r="A376" s="1" t="s">
        <v>59</v>
      </c>
      <c r="B376" s="1" t="s">
        <v>16</v>
      </c>
      <c r="C376" s="1" t="s">
        <v>19</v>
      </c>
      <c r="D376" s="1">
        <v>2235.0</v>
      </c>
      <c r="E376" s="1">
        <v>2381.0</v>
      </c>
      <c r="F376" s="1">
        <f t="shared" si="2"/>
        <v>146</v>
      </c>
      <c r="G376" s="1">
        <f t="shared" si="3"/>
        <v>146</v>
      </c>
      <c r="H376" s="6">
        <f t="shared" si="4"/>
        <v>0.06532438479</v>
      </c>
      <c r="I376" s="6">
        <f t="shared" si="5"/>
        <v>0.9346756152</v>
      </c>
      <c r="J376" s="1">
        <f t="shared" si="6"/>
        <v>146</v>
      </c>
      <c r="K376" s="1" t="str">
        <f t="shared" si="7"/>
        <v>Over Forecast</v>
      </c>
      <c r="L376" s="1">
        <f>F376</f>
        <v>146</v>
      </c>
      <c r="M376" s="7">
        <f t="shared" si="10"/>
        <v>84.384</v>
      </c>
      <c r="N376" s="7">
        <f t="shared" si="8"/>
        <v>1.730185817</v>
      </c>
      <c r="O376" s="2" t="str">
        <f t="shared" si="9"/>
        <v>Acceptable</v>
      </c>
    </row>
    <row r="377" ht="15.75" customHeight="1">
      <c r="A377" s="1" t="s">
        <v>59</v>
      </c>
      <c r="B377" s="1" t="s">
        <v>16</v>
      </c>
      <c r="C377" s="1" t="s">
        <v>20</v>
      </c>
      <c r="D377" s="1">
        <v>2033.0</v>
      </c>
      <c r="E377" s="1">
        <v>1947.0</v>
      </c>
      <c r="F377" s="1">
        <f t="shared" si="2"/>
        <v>-86</v>
      </c>
      <c r="G377" s="1">
        <f t="shared" si="3"/>
        <v>86</v>
      </c>
      <c r="H377" s="6">
        <f t="shared" si="4"/>
        <v>0.04230201672</v>
      </c>
      <c r="I377" s="6">
        <f t="shared" si="5"/>
        <v>0.9576979833</v>
      </c>
      <c r="J377" s="1">
        <f t="shared" si="6"/>
        <v>-86</v>
      </c>
      <c r="K377" s="1" t="str">
        <f t="shared" si="7"/>
        <v>Under Forecast</v>
      </c>
      <c r="L377" s="1">
        <f>F377+J376</f>
        <v>60</v>
      </c>
      <c r="M377" s="7">
        <f t="shared" si="10"/>
        <v>84.38829787</v>
      </c>
      <c r="N377" s="7">
        <f t="shared" si="8"/>
        <v>0.7109990545</v>
      </c>
      <c r="O377" s="2" t="str">
        <f t="shared" si="9"/>
        <v>Acceptable</v>
      </c>
    </row>
    <row r="378" ht="15.75" customHeight="1">
      <c r="A378" s="1" t="s">
        <v>59</v>
      </c>
      <c r="B378" s="1" t="s">
        <v>16</v>
      </c>
      <c r="C378" s="1" t="s">
        <v>21</v>
      </c>
      <c r="D378" s="1">
        <v>2155.0</v>
      </c>
      <c r="E378" s="1">
        <v>2046.0</v>
      </c>
      <c r="F378" s="1">
        <f t="shared" si="2"/>
        <v>-109</v>
      </c>
      <c r="G378" s="1">
        <f t="shared" si="3"/>
        <v>109</v>
      </c>
      <c r="H378" s="6">
        <f t="shared" si="4"/>
        <v>0.0505800464</v>
      </c>
      <c r="I378" s="6">
        <f t="shared" si="5"/>
        <v>0.9494199536</v>
      </c>
      <c r="J378" s="1">
        <f t="shared" si="6"/>
        <v>-109</v>
      </c>
      <c r="K378" s="1" t="str">
        <f t="shared" si="7"/>
        <v>Under Forecast</v>
      </c>
      <c r="L378" s="1">
        <f>F378</f>
        <v>-109</v>
      </c>
      <c r="M378" s="7">
        <f t="shared" si="10"/>
        <v>84.4535809</v>
      </c>
      <c r="N378" s="7">
        <f t="shared" si="8"/>
        <v>-1.290649832</v>
      </c>
      <c r="O378" s="2" t="str">
        <f t="shared" si="9"/>
        <v>Acceptable</v>
      </c>
    </row>
    <row r="379" ht="15.75" customHeight="1">
      <c r="A379" s="1" t="s">
        <v>59</v>
      </c>
      <c r="B379" s="1" t="s">
        <v>16</v>
      </c>
      <c r="C379" s="1" t="s">
        <v>22</v>
      </c>
      <c r="D379" s="1">
        <v>2563.0</v>
      </c>
      <c r="E379" s="1">
        <v>2494.0</v>
      </c>
      <c r="F379" s="1">
        <f t="shared" si="2"/>
        <v>-69</v>
      </c>
      <c r="G379" s="1">
        <f t="shared" si="3"/>
        <v>69</v>
      </c>
      <c r="H379" s="6">
        <f t="shared" si="4"/>
        <v>0.02692157628</v>
      </c>
      <c r="I379" s="6">
        <f t="shared" si="5"/>
        <v>0.9730784237</v>
      </c>
      <c r="J379" s="1">
        <f t="shared" si="6"/>
        <v>-69</v>
      </c>
      <c r="K379" s="1" t="str">
        <f t="shared" si="7"/>
        <v>Under Forecast</v>
      </c>
      <c r="L379" s="1">
        <f>F379+J378</f>
        <v>-178</v>
      </c>
      <c r="M379" s="7">
        <f t="shared" si="10"/>
        <v>84.41269841</v>
      </c>
      <c r="N379" s="7">
        <f t="shared" si="8"/>
        <v>-2.108687476</v>
      </c>
      <c r="O379" s="2" t="str">
        <f t="shared" si="9"/>
        <v>Acceptable</v>
      </c>
    </row>
    <row r="380" ht="15.75" customHeight="1">
      <c r="A380" s="1" t="s">
        <v>59</v>
      </c>
      <c r="B380" s="1" t="s">
        <v>16</v>
      </c>
      <c r="C380" s="1" t="s">
        <v>23</v>
      </c>
      <c r="D380" s="1">
        <v>2402.0</v>
      </c>
      <c r="E380" s="1">
        <v>2297.0</v>
      </c>
      <c r="F380" s="1">
        <f t="shared" si="2"/>
        <v>-105</v>
      </c>
      <c r="G380" s="1">
        <f t="shared" si="3"/>
        <v>105</v>
      </c>
      <c r="H380" s="6">
        <f t="shared" si="4"/>
        <v>0.04371357202</v>
      </c>
      <c r="I380" s="6">
        <f t="shared" si="5"/>
        <v>0.956286428</v>
      </c>
      <c r="J380" s="1">
        <f t="shared" si="6"/>
        <v>-105</v>
      </c>
      <c r="K380" s="1" t="str">
        <f t="shared" si="7"/>
        <v>Under Forecast</v>
      </c>
      <c r="L380" s="1">
        <f>F380</f>
        <v>-105</v>
      </c>
      <c r="M380" s="7">
        <f t="shared" si="10"/>
        <v>84.46701847</v>
      </c>
      <c r="N380" s="7">
        <f t="shared" si="8"/>
        <v>-1.243088745</v>
      </c>
      <c r="O380" s="2" t="str">
        <f t="shared" si="9"/>
        <v>Acceptable</v>
      </c>
    </row>
    <row r="381" ht="15.75" customHeight="1">
      <c r="A381" s="1" t="s">
        <v>59</v>
      </c>
      <c r="B381" s="1" t="s">
        <v>16</v>
      </c>
      <c r="C381" s="1" t="s">
        <v>24</v>
      </c>
      <c r="D381" s="1">
        <v>2510.0</v>
      </c>
      <c r="E381" s="1">
        <v>2461.0</v>
      </c>
      <c r="F381" s="1">
        <f t="shared" si="2"/>
        <v>-49</v>
      </c>
      <c r="G381" s="1">
        <f t="shared" si="3"/>
        <v>49</v>
      </c>
      <c r="H381" s="6">
        <f t="shared" si="4"/>
        <v>0.01952191235</v>
      </c>
      <c r="I381" s="6">
        <f t="shared" si="5"/>
        <v>0.9804780876</v>
      </c>
      <c r="J381" s="1">
        <f t="shared" si="6"/>
        <v>-49</v>
      </c>
      <c r="K381" s="1" t="str">
        <f t="shared" si="7"/>
        <v>Under Forecast</v>
      </c>
      <c r="L381" s="1">
        <f>F381+J380</f>
        <v>-154</v>
      </c>
      <c r="M381" s="7">
        <f t="shared" si="10"/>
        <v>84.37368421</v>
      </c>
      <c r="N381" s="7">
        <f t="shared" si="8"/>
        <v>-1.825213649</v>
      </c>
      <c r="O381" s="2" t="str">
        <f t="shared" si="9"/>
        <v>Acceptable</v>
      </c>
    </row>
    <row r="382" ht="15.75" customHeight="1">
      <c r="A382" s="1" t="s">
        <v>59</v>
      </c>
      <c r="B382" s="1" t="s">
        <v>16</v>
      </c>
      <c r="C382" s="1" t="s">
        <v>25</v>
      </c>
      <c r="D382" s="1">
        <v>2484.0</v>
      </c>
      <c r="E382" s="1">
        <v>2366.0</v>
      </c>
      <c r="F382" s="1">
        <f t="shared" si="2"/>
        <v>-118</v>
      </c>
      <c r="G382" s="1">
        <f t="shared" si="3"/>
        <v>118</v>
      </c>
      <c r="H382" s="6">
        <f t="shared" si="4"/>
        <v>0.04750402576</v>
      </c>
      <c r="I382" s="6">
        <f t="shared" si="5"/>
        <v>0.9524959742</v>
      </c>
      <c r="J382" s="1">
        <f t="shared" si="6"/>
        <v>-118</v>
      </c>
      <c r="K382" s="1" t="str">
        <f t="shared" si="7"/>
        <v>Under Forecast</v>
      </c>
      <c r="L382" s="1">
        <f>F382</f>
        <v>-118</v>
      </c>
      <c r="M382" s="7">
        <f t="shared" si="10"/>
        <v>84.46194226</v>
      </c>
      <c r="N382" s="7">
        <f t="shared" si="8"/>
        <v>-1.397078931</v>
      </c>
      <c r="O382" s="2" t="str">
        <f t="shared" si="9"/>
        <v>Acceptable</v>
      </c>
    </row>
    <row r="383" ht="15.75" customHeight="1">
      <c r="A383" s="1" t="s">
        <v>59</v>
      </c>
      <c r="B383" s="1" t="s">
        <v>16</v>
      </c>
      <c r="C383" s="1" t="s">
        <v>26</v>
      </c>
      <c r="D383" s="1">
        <v>2507.0</v>
      </c>
      <c r="E383" s="1">
        <v>2548.0</v>
      </c>
      <c r="F383" s="1">
        <f t="shared" si="2"/>
        <v>41</v>
      </c>
      <c r="G383" s="1">
        <f t="shared" si="3"/>
        <v>41</v>
      </c>
      <c r="H383" s="6">
        <f t="shared" si="4"/>
        <v>0.01635420822</v>
      </c>
      <c r="I383" s="6">
        <f t="shared" si="5"/>
        <v>0.9836457918</v>
      </c>
      <c r="J383" s="1">
        <f t="shared" si="6"/>
        <v>41</v>
      </c>
      <c r="K383" s="1" t="str">
        <f t="shared" si="7"/>
        <v>Over Forecast</v>
      </c>
      <c r="L383" s="1">
        <f>F383+J382</f>
        <v>-77</v>
      </c>
      <c r="M383" s="7">
        <f t="shared" si="10"/>
        <v>84.34816754</v>
      </c>
      <c r="N383" s="7">
        <f t="shared" si="8"/>
        <v>-0.9128829025</v>
      </c>
      <c r="O383" s="2" t="str">
        <f t="shared" si="9"/>
        <v>Acceptable</v>
      </c>
    </row>
    <row r="384" ht="15.75" customHeight="1">
      <c r="A384" s="1" t="s">
        <v>59</v>
      </c>
      <c r="B384" s="1" t="s">
        <v>16</v>
      </c>
      <c r="C384" s="1" t="s">
        <v>27</v>
      </c>
      <c r="D384" s="1">
        <v>2189.0</v>
      </c>
      <c r="E384" s="1">
        <v>2159.0</v>
      </c>
      <c r="F384" s="1">
        <f t="shared" si="2"/>
        <v>-30</v>
      </c>
      <c r="G384" s="1">
        <f t="shared" si="3"/>
        <v>30</v>
      </c>
      <c r="H384" s="6">
        <f t="shared" si="4"/>
        <v>0.01370488808</v>
      </c>
      <c r="I384" s="6">
        <f t="shared" si="5"/>
        <v>0.9862951119</v>
      </c>
      <c r="J384" s="1">
        <f t="shared" si="6"/>
        <v>-30</v>
      </c>
      <c r="K384" s="1" t="str">
        <f t="shared" si="7"/>
        <v>Under Forecast</v>
      </c>
      <c r="L384" s="1">
        <f>F384</f>
        <v>-30</v>
      </c>
      <c r="M384" s="7">
        <f t="shared" si="10"/>
        <v>84.20626632</v>
      </c>
      <c r="N384" s="7">
        <f t="shared" si="8"/>
        <v>-0.3562680227</v>
      </c>
      <c r="O384" s="2" t="str">
        <f t="shared" si="9"/>
        <v>Acceptable</v>
      </c>
    </row>
    <row r="385" ht="15.75" customHeight="1">
      <c r="A385" s="1" t="s">
        <v>59</v>
      </c>
      <c r="B385" s="1" t="s">
        <v>16</v>
      </c>
      <c r="C385" s="1" t="s">
        <v>28</v>
      </c>
      <c r="D385" s="1">
        <v>2518.0</v>
      </c>
      <c r="E385" s="1">
        <v>2688.0</v>
      </c>
      <c r="F385" s="1">
        <f t="shared" si="2"/>
        <v>170</v>
      </c>
      <c r="G385" s="1">
        <f t="shared" si="3"/>
        <v>170</v>
      </c>
      <c r="H385" s="6">
        <f t="shared" si="4"/>
        <v>0.06751389992</v>
      </c>
      <c r="I385" s="6">
        <f t="shared" si="5"/>
        <v>0.9324861001</v>
      </c>
      <c r="J385" s="1">
        <f t="shared" si="6"/>
        <v>170</v>
      </c>
      <c r="K385" s="1" t="str">
        <f t="shared" si="7"/>
        <v>Over Forecast</v>
      </c>
      <c r="L385" s="1">
        <f>F385+J384</f>
        <v>140</v>
      </c>
      <c r="M385" s="7">
        <f t="shared" si="10"/>
        <v>84.4296875</v>
      </c>
      <c r="N385" s="7">
        <f t="shared" si="8"/>
        <v>1.65818451</v>
      </c>
      <c r="O385" s="2" t="str">
        <f t="shared" si="9"/>
        <v>Acceptable</v>
      </c>
    </row>
    <row r="386" ht="15.75" customHeight="1">
      <c r="A386" s="1" t="s">
        <v>60</v>
      </c>
      <c r="B386" s="1" t="s">
        <v>16</v>
      </c>
      <c r="C386" s="1" t="s">
        <v>17</v>
      </c>
      <c r="D386" s="1">
        <v>1222.0</v>
      </c>
      <c r="E386" s="1">
        <v>1131.0</v>
      </c>
      <c r="F386" s="1">
        <f t="shared" si="2"/>
        <v>-91</v>
      </c>
      <c r="G386" s="1">
        <f t="shared" si="3"/>
        <v>91</v>
      </c>
      <c r="H386" s="6">
        <f t="shared" si="4"/>
        <v>0.07446808511</v>
      </c>
      <c r="I386" s="6">
        <f t="shared" si="5"/>
        <v>0.9255319149</v>
      </c>
      <c r="J386" s="1">
        <f t="shared" si="6"/>
        <v>-91</v>
      </c>
      <c r="K386" s="1" t="str">
        <f t="shared" si="7"/>
        <v>Under Forecast</v>
      </c>
      <c r="L386" s="1">
        <f>F386</f>
        <v>-91</v>
      </c>
      <c r="M386" s="7">
        <f t="shared" si="10"/>
        <v>84.44675325</v>
      </c>
      <c r="N386" s="7">
        <f t="shared" si="8"/>
        <v>-1.077602116</v>
      </c>
      <c r="O386" s="2" t="str">
        <f t="shared" si="9"/>
        <v>Acceptable</v>
      </c>
    </row>
    <row r="387" ht="15.75" customHeight="1">
      <c r="A387" s="1" t="s">
        <v>60</v>
      </c>
      <c r="B387" s="1" t="s">
        <v>16</v>
      </c>
      <c r="C387" s="1" t="s">
        <v>18</v>
      </c>
      <c r="D387" s="1">
        <v>1285.0</v>
      </c>
      <c r="E387" s="1">
        <v>1172.0</v>
      </c>
      <c r="F387" s="1">
        <f t="shared" si="2"/>
        <v>-113</v>
      </c>
      <c r="G387" s="1">
        <f t="shared" si="3"/>
        <v>113</v>
      </c>
      <c r="H387" s="6">
        <f t="shared" si="4"/>
        <v>0.08793774319</v>
      </c>
      <c r="I387" s="6">
        <f t="shared" si="5"/>
        <v>0.9120622568</v>
      </c>
      <c r="J387" s="1">
        <f t="shared" si="6"/>
        <v>-113</v>
      </c>
      <c r="K387" s="1" t="str">
        <f t="shared" si="7"/>
        <v>Under Forecast</v>
      </c>
      <c r="L387" s="1">
        <f>F387+J386</f>
        <v>-204</v>
      </c>
      <c r="M387" s="7">
        <f t="shared" si="10"/>
        <v>84.52072539</v>
      </c>
      <c r="N387" s="7">
        <f t="shared" si="8"/>
        <v>-2.413609195</v>
      </c>
      <c r="O387" s="2" t="str">
        <f t="shared" si="9"/>
        <v>Acceptable</v>
      </c>
    </row>
    <row r="388" ht="15.75" customHeight="1">
      <c r="A388" s="1" t="s">
        <v>60</v>
      </c>
      <c r="B388" s="1" t="s">
        <v>16</v>
      </c>
      <c r="C388" s="1" t="s">
        <v>19</v>
      </c>
      <c r="D388" s="1">
        <v>1287.0</v>
      </c>
      <c r="E388" s="1">
        <v>1248.0</v>
      </c>
      <c r="F388" s="1">
        <f t="shared" si="2"/>
        <v>-39</v>
      </c>
      <c r="G388" s="1">
        <f t="shared" si="3"/>
        <v>39</v>
      </c>
      <c r="H388" s="6">
        <f t="shared" si="4"/>
        <v>0.0303030303</v>
      </c>
      <c r="I388" s="6">
        <f t="shared" si="5"/>
        <v>0.9696969697</v>
      </c>
      <c r="J388" s="1">
        <f t="shared" si="6"/>
        <v>-39</v>
      </c>
      <c r="K388" s="1" t="str">
        <f t="shared" si="7"/>
        <v>Under Forecast</v>
      </c>
      <c r="L388" s="1">
        <f>F388</f>
        <v>-39</v>
      </c>
      <c r="M388" s="7">
        <f t="shared" si="10"/>
        <v>84.40310078</v>
      </c>
      <c r="N388" s="7">
        <f t="shared" si="8"/>
        <v>-0.4620683321</v>
      </c>
      <c r="O388" s="2" t="str">
        <f t="shared" si="9"/>
        <v>Acceptable</v>
      </c>
    </row>
    <row r="389" ht="15.75" customHeight="1">
      <c r="A389" s="1" t="s">
        <v>60</v>
      </c>
      <c r="B389" s="1" t="s">
        <v>16</v>
      </c>
      <c r="C389" s="1" t="s">
        <v>20</v>
      </c>
      <c r="D389" s="1">
        <v>1421.0</v>
      </c>
      <c r="E389" s="1">
        <v>1472.0</v>
      </c>
      <c r="F389" s="1">
        <f t="shared" si="2"/>
        <v>51</v>
      </c>
      <c r="G389" s="1">
        <f t="shared" si="3"/>
        <v>51</v>
      </c>
      <c r="H389" s="6">
        <f t="shared" si="4"/>
        <v>0.03589021816</v>
      </c>
      <c r="I389" s="6">
        <f t="shared" si="5"/>
        <v>0.9641097818</v>
      </c>
      <c r="J389" s="1">
        <f t="shared" si="6"/>
        <v>51</v>
      </c>
      <c r="K389" s="1" t="str">
        <f t="shared" si="7"/>
        <v>Over Forecast</v>
      </c>
      <c r="L389" s="1">
        <f>F389+J388</f>
        <v>12</v>
      </c>
      <c r="M389" s="7">
        <f t="shared" si="10"/>
        <v>84.31701031</v>
      </c>
      <c r="N389" s="7">
        <f t="shared" si="8"/>
        <v>0.1423200367</v>
      </c>
      <c r="O389" s="2" t="str">
        <f t="shared" si="9"/>
        <v>Acceptable</v>
      </c>
    </row>
    <row r="390" ht="15.75" customHeight="1">
      <c r="A390" s="1" t="s">
        <v>60</v>
      </c>
      <c r="B390" s="1" t="s">
        <v>16</v>
      </c>
      <c r="C390" s="1" t="s">
        <v>21</v>
      </c>
      <c r="D390" s="1">
        <v>1473.0</v>
      </c>
      <c r="E390" s="1">
        <v>1447.0</v>
      </c>
      <c r="F390" s="1">
        <f t="shared" si="2"/>
        <v>-26</v>
      </c>
      <c r="G390" s="1">
        <f t="shared" si="3"/>
        <v>26</v>
      </c>
      <c r="H390" s="6">
        <f t="shared" si="4"/>
        <v>0.01765105227</v>
      </c>
      <c r="I390" s="6">
        <f t="shared" si="5"/>
        <v>0.9823489477</v>
      </c>
      <c r="J390" s="1">
        <f t="shared" si="6"/>
        <v>-26</v>
      </c>
      <c r="K390" s="1" t="str">
        <f t="shared" si="7"/>
        <v>Under Forecast</v>
      </c>
      <c r="L390" s="1">
        <f>F390</f>
        <v>-26</v>
      </c>
      <c r="M390" s="7">
        <f t="shared" si="10"/>
        <v>84.16709512</v>
      </c>
      <c r="N390" s="7">
        <f t="shared" si="8"/>
        <v>-0.3089093186</v>
      </c>
      <c r="O390" s="2" t="str">
        <f t="shared" si="9"/>
        <v>Acceptable</v>
      </c>
    </row>
    <row r="391" ht="15.75" customHeight="1">
      <c r="A391" s="1" t="s">
        <v>60</v>
      </c>
      <c r="B391" s="1" t="s">
        <v>16</v>
      </c>
      <c r="C391" s="1" t="s">
        <v>22</v>
      </c>
      <c r="D391" s="1">
        <v>1615.0</v>
      </c>
      <c r="E391" s="1">
        <v>1440.0</v>
      </c>
      <c r="F391" s="1">
        <f t="shared" si="2"/>
        <v>-175</v>
      </c>
      <c r="G391" s="1">
        <f t="shared" si="3"/>
        <v>175</v>
      </c>
      <c r="H391" s="6">
        <f t="shared" si="4"/>
        <v>0.1083591331</v>
      </c>
      <c r="I391" s="6">
        <f t="shared" si="5"/>
        <v>0.8916408669</v>
      </c>
      <c r="J391" s="1">
        <f t="shared" si="6"/>
        <v>-175</v>
      </c>
      <c r="K391" s="1" t="str">
        <f t="shared" si="7"/>
        <v>Under Forecast</v>
      </c>
      <c r="L391" s="1">
        <f>F391+J390</f>
        <v>-201</v>
      </c>
      <c r="M391" s="7">
        <f t="shared" si="10"/>
        <v>84.4</v>
      </c>
      <c r="N391" s="7">
        <f t="shared" si="8"/>
        <v>-2.381516588</v>
      </c>
      <c r="O391" s="2" t="str">
        <f t="shared" si="9"/>
        <v>Acceptable</v>
      </c>
    </row>
    <row r="392" ht="15.75" customHeight="1">
      <c r="A392" s="1" t="s">
        <v>60</v>
      </c>
      <c r="B392" s="1" t="s">
        <v>16</v>
      </c>
      <c r="C392" s="1" t="s">
        <v>23</v>
      </c>
      <c r="D392" s="1">
        <v>1686.0</v>
      </c>
      <c r="E392" s="1">
        <v>1548.0</v>
      </c>
      <c r="F392" s="1">
        <f t="shared" si="2"/>
        <v>-138</v>
      </c>
      <c r="G392" s="1">
        <f t="shared" si="3"/>
        <v>138</v>
      </c>
      <c r="H392" s="6">
        <f t="shared" si="4"/>
        <v>0.08185053381</v>
      </c>
      <c r="I392" s="6">
        <f t="shared" si="5"/>
        <v>0.9181494662</v>
      </c>
      <c r="J392" s="1">
        <f t="shared" si="6"/>
        <v>-138</v>
      </c>
      <c r="K392" s="1" t="str">
        <f t="shared" si="7"/>
        <v>Under Forecast</v>
      </c>
      <c r="L392" s="1">
        <f>F392</f>
        <v>-138</v>
      </c>
      <c r="M392" s="7">
        <f t="shared" si="10"/>
        <v>84.5370844</v>
      </c>
      <c r="N392" s="7">
        <f t="shared" si="8"/>
        <v>-1.632419677</v>
      </c>
      <c r="O392" s="2" t="str">
        <f t="shared" si="9"/>
        <v>Acceptable</v>
      </c>
    </row>
    <row r="393" ht="15.75" customHeight="1">
      <c r="A393" s="1" t="s">
        <v>60</v>
      </c>
      <c r="B393" s="1" t="s">
        <v>16</v>
      </c>
      <c r="C393" s="1" t="s">
        <v>24</v>
      </c>
      <c r="D393" s="1">
        <v>1753.0</v>
      </c>
      <c r="E393" s="1">
        <v>1601.0</v>
      </c>
      <c r="F393" s="1">
        <f t="shared" si="2"/>
        <v>-152</v>
      </c>
      <c r="G393" s="1">
        <f t="shared" si="3"/>
        <v>152</v>
      </c>
      <c r="H393" s="6">
        <f t="shared" si="4"/>
        <v>0.08670849971</v>
      </c>
      <c r="I393" s="6">
        <f t="shared" si="5"/>
        <v>0.9132915003</v>
      </c>
      <c r="J393" s="1">
        <f t="shared" si="6"/>
        <v>-152</v>
      </c>
      <c r="K393" s="1" t="str">
        <f t="shared" si="7"/>
        <v>Under Forecast</v>
      </c>
      <c r="L393" s="1">
        <f>F393+J392</f>
        <v>-290</v>
      </c>
      <c r="M393" s="7">
        <f t="shared" si="10"/>
        <v>84.70918367</v>
      </c>
      <c r="N393" s="7">
        <f t="shared" si="8"/>
        <v>-3.423477685</v>
      </c>
      <c r="O393" s="2" t="str">
        <f t="shared" si="9"/>
        <v>Acceptable</v>
      </c>
    </row>
    <row r="394" ht="15.75" customHeight="1">
      <c r="A394" s="1" t="s">
        <v>60</v>
      </c>
      <c r="B394" s="1" t="s">
        <v>16</v>
      </c>
      <c r="C394" s="1" t="s">
        <v>25</v>
      </c>
      <c r="D394" s="1">
        <v>1519.0</v>
      </c>
      <c r="E394" s="1">
        <v>1372.0</v>
      </c>
      <c r="F394" s="1">
        <f t="shared" si="2"/>
        <v>-147</v>
      </c>
      <c r="G394" s="1">
        <f t="shared" si="3"/>
        <v>147</v>
      </c>
      <c r="H394" s="6">
        <f t="shared" si="4"/>
        <v>0.09677419355</v>
      </c>
      <c r="I394" s="6">
        <f t="shared" si="5"/>
        <v>0.9032258065</v>
      </c>
      <c r="J394" s="1">
        <f t="shared" si="6"/>
        <v>-147</v>
      </c>
      <c r="K394" s="1" t="str">
        <f t="shared" si="7"/>
        <v>Under Forecast</v>
      </c>
      <c r="L394" s="1">
        <f>F394</f>
        <v>-147</v>
      </c>
      <c r="M394" s="7">
        <f t="shared" si="10"/>
        <v>84.86768448</v>
      </c>
      <c r="N394" s="7">
        <f t="shared" si="8"/>
        <v>-1.732108056</v>
      </c>
      <c r="O394" s="2" t="str">
        <f t="shared" si="9"/>
        <v>Acceptable</v>
      </c>
    </row>
    <row r="395" ht="15.75" customHeight="1">
      <c r="A395" s="1" t="s">
        <v>60</v>
      </c>
      <c r="B395" s="1" t="s">
        <v>16</v>
      </c>
      <c r="C395" s="1" t="s">
        <v>26</v>
      </c>
      <c r="D395" s="1">
        <v>1698.0</v>
      </c>
      <c r="E395" s="1">
        <v>1647.0</v>
      </c>
      <c r="F395" s="1">
        <f t="shared" si="2"/>
        <v>-51</v>
      </c>
      <c r="G395" s="1">
        <f t="shared" si="3"/>
        <v>51</v>
      </c>
      <c r="H395" s="6">
        <f t="shared" si="4"/>
        <v>0.03003533569</v>
      </c>
      <c r="I395" s="6">
        <f t="shared" si="5"/>
        <v>0.9699646643</v>
      </c>
      <c r="J395" s="1">
        <f t="shared" si="6"/>
        <v>-51</v>
      </c>
      <c r="K395" s="1" t="str">
        <f t="shared" si="7"/>
        <v>Under Forecast</v>
      </c>
      <c r="L395" s="1">
        <f>F395+J394</f>
        <v>-198</v>
      </c>
      <c r="M395" s="7">
        <f t="shared" si="10"/>
        <v>84.78172589</v>
      </c>
      <c r="N395" s="7">
        <f t="shared" si="8"/>
        <v>-2.335408933</v>
      </c>
      <c r="O395" s="2" t="str">
        <f t="shared" si="9"/>
        <v>Acceptable</v>
      </c>
    </row>
    <row r="396" ht="15.75" customHeight="1">
      <c r="A396" s="1" t="s">
        <v>60</v>
      </c>
      <c r="B396" s="1" t="s">
        <v>16</v>
      </c>
      <c r="C396" s="1" t="s">
        <v>27</v>
      </c>
      <c r="D396" s="1">
        <v>1573.0</v>
      </c>
      <c r="E396" s="1">
        <v>1416.0</v>
      </c>
      <c r="F396" s="1">
        <f t="shared" si="2"/>
        <v>-157</v>
      </c>
      <c r="G396" s="1">
        <f t="shared" si="3"/>
        <v>157</v>
      </c>
      <c r="H396" s="6">
        <f t="shared" si="4"/>
        <v>0.09980928163</v>
      </c>
      <c r="I396" s="6">
        <f t="shared" si="5"/>
        <v>0.9001907184</v>
      </c>
      <c r="J396" s="1">
        <f t="shared" si="6"/>
        <v>-157</v>
      </c>
      <c r="K396" s="1" t="str">
        <f t="shared" si="7"/>
        <v>Under Forecast</v>
      </c>
      <c r="L396" s="1">
        <f>F396</f>
        <v>-157</v>
      </c>
      <c r="M396" s="7">
        <f t="shared" si="10"/>
        <v>84.96455696</v>
      </c>
      <c r="N396" s="7">
        <f t="shared" si="8"/>
        <v>-1.847829326</v>
      </c>
      <c r="O396" s="2" t="str">
        <f t="shared" si="9"/>
        <v>Acceptable</v>
      </c>
    </row>
    <row r="397" ht="15.75" customHeight="1">
      <c r="A397" s="1" t="s">
        <v>60</v>
      </c>
      <c r="B397" s="1" t="s">
        <v>16</v>
      </c>
      <c r="C397" s="1" t="s">
        <v>28</v>
      </c>
      <c r="D397" s="1">
        <v>1602.0</v>
      </c>
      <c r="E397" s="1">
        <v>1479.0</v>
      </c>
      <c r="F397" s="1">
        <f t="shared" si="2"/>
        <v>-123</v>
      </c>
      <c r="G397" s="1">
        <f t="shared" si="3"/>
        <v>123</v>
      </c>
      <c r="H397" s="6">
        <f t="shared" si="4"/>
        <v>0.07677902622</v>
      </c>
      <c r="I397" s="6">
        <f t="shared" si="5"/>
        <v>0.9232209738</v>
      </c>
      <c r="J397" s="1">
        <f t="shared" si="6"/>
        <v>-123</v>
      </c>
      <c r="K397" s="1" t="str">
        <f t="shared" si="7"/>
        <v>Under Forecast</v>
      </c>
      <c r="L397" s="1">
        <f>F397+J396</f>
        <v>-280</v>
      </c>
      <c r="M397" s="7">
        <f t="shared" si="10"/>
        <v>85.06060606</v>
      </c>
      <c r="N397" s="7">
        <f t="shared" si="8"/>
        <v>-3.291770574</v>
      </c>
      <c r="O397" s="2" t="str">
        <f t="shared" si="9"/>
        <v>Acceptable</v>
      </c>
    </row>
    <row r="398" ht="15.75" customHeight="1">
      <c r="A398" s="1" t="s">
        <v>61</v>
      </c>
      <c r="B398" s="1" t="s">
        <v>16</v>
      </c>
      <c r="C398" s="1" t="s">
        <v>17</v>
      </c>
      <c r="D398" s="1">
        <v>1442.0</v>
      </c>
      <c r="E398" s="1">
        <v>1427.0</v>
      </c>
      <c r="F398" s="1">
        <f t="shared" si="2"/>
        <v>-15</v>
      </c>
      <c r="G398" s="1">
        <f t="shared" si="3"/>
        <v>15</v>
      </c>
      <c r="H398" s="6">
        <f t="shared" si="4"/>
        <v>0.01040221914</v>
      </c>
      <c r="I398" s="6">
        <f t="shared" si="5"/>
        <v>0.9895977809</v>
      </c>
      <c r="J398" s="1">
        <f t="shared" si="6"/>
        <v>-15</v>
      </c>
      <c r="K398" s="1" t="str">
        <f t="shared" si="7"/>
        <v>Under Forecast</v>
      </c>
      <c r="L398" s="1">
        <f>F398</f>
        <v>-15</v>
      </c>
      <c r="M398" s="7">
        <f t="shared" si="10"/>
        <v>84.88413098</v>
      </c>
      <c r="N398" s="7">
        <f t="shared" si="8"/>
        <v>-0.1767114751</v>
      </c>
      <c r="O398" s="2" t="str">
        <f t="shared" si="9"/>
        <v>Acceptable</v>
      </c>
    </row>
    <row r="399" ht="15.75" customHeight="1">
      <c r="A399" s="1" t="s">
        <v>61</v>
      </c>
      <c r="B399" s="1" t="s">
        <v>16</v>
      </c>
      <c r="C399" s="1" t="s">
        <v>18</v>
      </c>
      <c r="D399" s="1">
        <v>1466.0</v>
      </c>
      <c r="E399" s="1">
        <v>1500.0</v>
      </c>
      <c r="F399" s="1">
        <f t="shared" si="2"/>
        <v>34</v>
      </c>
      <c r="G399" s="1">
        <f t="shared" si="3"/>
        <v>34</v>
      </c>
      <c r="H399" s="6">
        <f t="shared" si="4"/>
        <v>0.02319236016</v>
      </c>
      <c r="I399" s="6">
        <f t="shared" si="5"/>
        <v>0.9768076398</v>
      </c>
      <c r="J399" s="1">
        <f t="shared" si="6"/>
        <v>34</v>
      </c>
      <c r="K399" s="1" t="str">
        <f t="shared" si="7"/>
        <v>Over Forecast</v>
      </c>
      <c r="L399" s="1">
        <f>F399+J398</f>
        <v>19</v>
      </c>
      <c r="M399" s="7">
        <f t="shared" si="10"/>
        <v>84.75628141</v>
      </c>
      <c r="N399" s="7">
        <f t="shared" si="8"/>
        <v>0.2241721756</v>
      </c>
      <c r="O399" s="2" t="str">
        <f t="shared" si="9"/>
        <v>Acceptable</v>
      </c>
    </row>
    <row r="400" ht="15.75" customHeight="1">
      <c r="A400" s="1" t="s">
        <v>61</v>
      </c>
      <c r="B400" s="1" t="s">
        <v>16</v>
      </c>
      <c r="C400" s="1" t="s">
        <v>19</v>
      </c>
      <c r="D400" s="1">
        <v>1598.0</v>
      </c>
      <c r="E400" s="1">
        <v>1497.0</v>
      </c>
      <c r="F400" s="1">
        <f t="shared" si="2"/>
        <v>-101</v>
      </c>
      <c r="G400" s="1">
        <f t="shared" si="3"/>
        <v>101</v>
      </c>
      <c r="H400" s="6">
        <f t="shared" si="4"/>
        <v>0.06320400501</v>
      </c>
      <c r="I400" s="6">
        <f t="shared" si="5"/>
        <v>0.936795995</v>
      </c>
      <c r="J400" s="1">
        <f t="shared" si="6"/>
        <v>-101</v>
      </c>
      <c r="K400" s="1" t="str">
        <f t="shared" si="7"/>
        <v>Under Forecast</v>
      </c>
      <c r="L400" s="1">
        <f>F400</f>
        <v>-101</v>
      </c>
      <c r="M400" s="7">
        <f t="shared" si="10"/>
        <v>84.79699248</v>
      </c>
      <c r="N400" s="7">
        <f t="shared" si="8"/>
        <v>-1.191079979</v>
      </c>
      <c r="O400" s="2" t="str">
        <f t="shared" si="9"/>
        <v>Acceptable</v>
      </c>
    </row>
    <row r="401" ht="15.75" customHeight="1">
      <c r="A401" s="1" t="s">
        <v>61</v>
      </c>
      <c r="B401" s="1" t="s">
        <v>16</v>
      </c>
      <c r="C401" s="1" t="s">
        <v>20</v>
      </c>
      <c r="D401" s="1">
        <v>1693.0</v>
      </c>
      <c r="E401" s="1">
        <v>1649.0</v>
      </c>
      <c r="F401" s="1">
        <f t="shared" si="2"/>
        <v>-44</v>
      </c>
      <c r="G401" s="1">
        <f t="shared" si="3"/>
        <v>44</v>
      </c>
      <c r="H401" s="6">
        <f t="shared" si="4"/>
        <v>0.02598936799</v>
      </c>
      <c r="I401" s="6">
        <f t="shared" si="5"/>
        <v>0.974010632</v>
      </c>
      <c r="J401" s="1">
        <f t="shared" si="6"/>
        <v>-44</v>
      </c>
      <c r="K401" s="1" t="str">
        <f t="shared" si="7"/>
        <v>Under Forecast</v>
      </c>
      <c r="L401" s="1">
        <f>F401+J400</f>
        <v>-145</v>
      </c>
      <c r="M401" s="7">
        <f t="shared" si="10"/>
        <v>84.695</v>
      </c>
      <c r="N401" s="7">
        <f t="shared" si="8"/>
        <v>-1.712025503</v>
      </c>
      <c r="O401" s="2" t="str">
        <f t="shared" si="9"/>
        <v>Acceptable</v>
      </c>
    </row>
    <row r="402" ht="15.75" customHeight="1">
      <c r="A402" s="1" t="s">
        <v>61</v>
      </c>
      <c r="B402" s="1" t="s">
        <v>16</v>
      </c>
      <c r="C402" s="1" t="s">
        <v>21</v>
      </c>
      <c r="D402" s="1">
        <v>1688.0</v>
      </c>
      <c r="E402" s="1">
        <v>1632.0</v>
      </c>
      <c r="F402" s="1">
        <f t="shared" si="2"/>
        <v>-56</v>
      </c>
      <c r="G402" s="1">
        <f t="shared" si="3"/>
        <v>56</v>
      </c>
      <c r="H402" s="6">
        <f t="shared" si="4"/>
        <v>0.03317535545</v>
      </c>
      <c r="I402" s="6">
        <f t="shared" si="5"/>
        <v>0.9668246445</v>
      </c>
      <c r="J402" s="1">
        <f t="shared" si="6"/>
        <v>-56</v>
      </c>
      <c r="K402" s="1" t="str">
        <f t="shared" si="7"/>
        <v>Under Forecast</v>
      </c>
      <c r="L402" s="1">
        <f>F402</f>
        <v>-56</v>
      </c>
      <c r="M402" s="7">
        <f t="shared" si="10"/>
        <v>84.6234414</v>
      </c>
      <c r="N402" s="7">
        <f t="shared" si="8"/>
        <v>-0.6617551718</v>
      </c>
      <c r="O402" s="2" t="str">
        <f t="shared" si="9"/>
        <v>Acceptable</v>
      </c>
    </row>
    <row r="403" ht="15.75" customHeight="1">
      <c r="A403" s="1" t="s">
        <v>61</v>
      </c>
      <c r="B403" s="1" t="s">
        <v>16</v>
      </c>
      <c r="C403" s="1" t="s">
        <v>22</v>
      </c>
      <c r="D403" s="1">
        <v>1713.0</v>
      </c>
      <c r="E403" s="1">
        <v>1734.0</v>
      </c>
      <c r="F403" s="1">
        <f t="shared" si="2"/>
        <v>21</v>
      </c>
      <c r="G403" s="1">
        <f t="shared" si="3"/>
        <v>21</v>
      </c>
      <c r="H403" s="6">
        <f t="shared" si="4"/>
        <v>0.0122591944</v>
      </c>
      <c r="I403" s="6">
        <f t="shared" si="5"/>
        <v>0.9877408056</v>
      </c>
      <c r="J403" s="1">
        <f t="shared" si="6"/>
        <v>21</v>
      </c>
      <c r="K403" s="1" t="str">
        <f t="shared" si="7"/>
        <v>Over Forecast</v>
      </c>
      <c r="L403" s="1">
        <f>F403+J402</f>
        <v>-35</v>
      </c>
      <c r="M403" s="7">
        <f t="shared" si="10"/>
        <v>84.46517413</v>
      </c>
      <c r="N403" s="7">
        <f t="shared" si="8"/>
        <v>-0.4143719629</v>
      </c>
      <c r="O403" s="2" t="str">
        <f t="shared" si="9"/>
        <v>Acceptable</v>
      </c>
    </row>
    <row r="404" ht="15.75" customHeight="1">
      <c r="A404" s="1" t="s">
        <v>61</v>
      </c>
      <c r="B404" s="1" t="s">
        <v>16</v>
      </c>
      <c r="C404" s="1" t="s">
        <v>23</v>
      </c>
      <c r="D404" s="1">
        <v>1613.0</v>
      </c>
      <c r="E404" s="1">
        <v>1521.0</v>
      </c>
      <c r="F404" s="1">
        <f t="shared" si="2"/>
        <v>-92</v>
      </c>
      <c r="G404" s="1">
        <f t="shared" si="3"/>
        <v>92</v>
      </c>
      <c r="H404" s="6">
        <f t="shared" si="4"/>
        <v>0.05703657781</v>
      </c>
      <c r="I404" s="6">
        <f t="shared" si="5"/>
        <v>0.9429634222</v>
      </c>
      <c r="J404" s="1">
        <f t="shared" si="6"/>
        <v>-92</v>
      </c>
      <c r="K404" s="1" t="str">
        <f t="shared" si="7"/>
        <v>Under Forecast</v>
      </c>
      <c r="L404" s="1">
        <f>F404</f>
        <v>-92</v>
      </c>
      <c r="M404" s="7">
        <f t="shared" si="10"/>
        <v>84.48387097</v>
      </c>
      <c r="N404" s="7">
        <f t="shared" si="8"/>
        <v>-1.088965254</v>
      </c>
      <c r="O404" s="2" t="str">
        <f t="shared" si="9"/>
        <v>Acceptable</v>
      </c>
    </row>
    <row r="405" ht="15.75" customHeight="1">
      <c r="A405" s="1" t="s">
        <v>61</v>
      </c>
      <c r="B405" s="1" t="s">
        <v>16</v>
      </c>
      <c r="C405" s="1" t="s">
        <v>24</v>
      </c>
      <c r="D405" s="1">
        <v>1552.0</v>
      </c>
      <c r="E405" s="1">
        <v>1568.0</v>
      </c>
      <c r="F405" s="1">
        <f t="shared" si="2"/>
        <v>16</v>
      </c>
      <c r="G405" s="1">
        <f t="shared" si="3"/>
        <v>16</v>
      </c>
      <c r="H405" s="6">
        <f t="shared" si="4"/>
        <v>0.01030927835</v>
      </c>
      <c r="I405" s="6">
        <f t="shared" si="5"/>
        <v>0.9896907216</v>
      </c>
      <c r="J405" s="1">
        <f t="shared" si="6"/>
        <v>16</v>
      </c>
      <c r="K405" s="1" t="str">
        <f t="shared" si="7"/>
        <v>Over Forecast</v>
      </c>
      <c r="L405" s="1">
        <f>F405+J404</f>
        <v>-76</v>
      </c>
      <c r="M405" s="7">
        <f t="shared" si="10"/>
        <v>84.31435644</v>
      </c>
      <c r="N405" s="7">
        <f t="shared" si="8"/>
        <v>-0.9013886035</v>
      </c>
      <c r="O405" s="2" t="str">
        <f t="shared" si="9"/>
        <v>Acceptable</v>
      </c>
    </row>
    <row r="406" ht="15.75" customHeight="1">
      <c r="A406" s="1" t="s">
        <v>61</v>
      </c>
      <c r="B406" s="1" t="s">
        <v>16</v>
      </c>
      <c r="C406" s="1" t="s">
        <v>25</v>
      </c>
      <c r="D406" s="1">
        <v>1535.0</v>
      </c>
      <c r="E406" s="1">
        <v>1586.0</v>
      </c>
      <c r="F406" s="1">
        <f t="shared" si="2"/>
        <v>51</v>
      </c>
      <c r="G406" s="1">
        <f t="shared" si="3"/>
        <v>51</v>
      </c>
      <c r="H406" s="6">
        <f t="shared" si="4"/>
        <v>0.0332247557</v>
      </c>
      <c r="I406" s="6">
        <f t="shared" si="5"/>
        <v>0.9667752443</v>
      </c>
      <c r="J406" s="1">
        <f t="shared" si="6"/>
        <v>51</v>
      </c>
      <c r="K406" s="1" t="str">
        <f t="shared" si="7"/>
        <v>Over Forecast</v>
      </c>
      <c r="L406" s="1">
        <f>F406</f>
        <v>51</v>
      </c>
      <c r="M406" s="7">
        <f t="shared" si="10"/>
        <v>84.23209877</v>
      </c>
      <c r="N406" s="7">
        <f t="shared" si="8"/>
        <v>0.6054698951</v>
      </c>
      <c r="O406" s="2" t="str">
        <f t="shared" si="9"/>
        <v>Acceptable</v>
      </c>
    </row>
    <row r="407" ht="15.75" customHeight="1">
      <c r="A407" s="1" t="s">
        <v>61</v>
      </c>
      <c r="B407" s="1" t="s">
        <v>16</v>
      </c>
      <c r="C407" s="1" t="s">
        <v>26</v>
      </c>
      <c r="D407" s="1">
        <v>1592.0</v>
      </c>
      <c r="E407" s="1">
        <v>1620.0</v>
      </c>
      <c r="F407" s="1">
        <f t="shared" si="2"/>
        <v>28</v>
      </c>
      <c r="G407" s="1">
        <f t="shared" si="3"/>
        <v>28</v>
      </c>
      <c r="H407" s="6">
        <f t="shared" si="4"/>
        <v>0.0175879397</v>
      </c>
      <c r="I407" s="6">
        <f t="shared" si="5"/>
        <v>0.9824120603</v>
      </c>
      <c r="J407" s="1">
        <f t="shared" si="6"/>
        <v>28</v>
      </c>
      <c r="K407" s="1" t="str">
        <f t="shared" si="7"/>
        <v>Over Forecast</v>
      </c>
      <c r="L407" s="1">
        <f>F407+J406</f>
        <v>79</v>
      </c>
      <c r="M407" s="7">
        <f t="shared" si="10"/>
        <v>84.09359606</v>
      </c>
      <c r="N407" s="7">
        <f t="shared" si="8"/>
        <v>0.9394294417</v>
      </c>
      <c r="O407" s="2" t="str">
        <f t="shared" si="9"/>
        <v>Acceptable</v>
      </c>
    </row>
    <row r="408" ht="15.75" customHeight="1">
      <c r="A408" s="1" t="s">
        <v>61</v>
      </c>
      <c r="B408" s="1" t="s">
        <v>16</v>
      </c>
      <c r="C408" s="1" t="s">
        <v>27</v>
      </c>
      <c r="D408" s="1">
        <v>1707.0</v>
      </c>
      <c r="E408" s="1">
        <v>1748.0</v>
      </c>
      <c r="F408" s="1">
        <f t="shared" si="2"/>
        <v>41</v>
      </c>
      <c r="G408" s="1">
        <f t="shared" si="3"/>
        <v>41</v>
      </c>
      <c r="H408" s="6">
        <f t="shared" si="4"/>
        <v>0.02401874634</v>
      </c>
      <c r="I408" s="6">
        <f t="shared" si="5"/>
        <v>0.9759812537</v>
      </c>
      <c r="J408" s="1">
        <f t="shared" si="6"/>
        <v>41</v>
      </c>
      <c r="K408" s="1" t="str">
        <f t="shared" si="7"/>
        <v>Over Forecast</v>
      </c>
      <c r="L408" s="1">
        <f>F408</f>
        <v>41</v>
      </c>
      <c r="M408" s="7">
        <f t="shared" si="10"/>
        <v>83.98771499</v>
      </c>
      <c r="N408" s="7">
        <f t="shared" si="8"/>
        <v>0.4881666325</v>
      </c>
      <c r="O408" s="2" t="str">
        <f t="shared" si="9"/>
        <v>Acceptable</v>
      </c>
    </row>
    <row r="409" ht="15.75" customHeight="1">
      <c r="A409" s="1" t="s">
        <v>61</v>
      </c>
      <c r="B409" s="1" t="s">
        <v>16</v>
      </c>
      <c r="C409" s="1" t="s">
        <v>28</v>
      </c>
      <c r="D409" s="1">
        <v>1627.0</v>
      </c>
      <c r="E409" s="1">
        <v>1554.0</v>
      </c>
      <c r="F409" s="1">
        <f t="shared" si="2"/>
        <v>-73</v>
      </c>
      <c r="G409" s="1">
        <f t="shared" si="3"/>
        <v>73</v>
      </c>
      <c r="H409" s="6">
        <f t="shared" si="4"/>
        <v>0.04486785495</v>
      </c>
      <c r="I409" s="6">
        <f t="shared" si="5"/>
        <v>0.9551321451</v>
      </c>
      <c r="J409" s="1">
        <f t="shared" si="6"/>
        <v>-73</v>
      </c>
      <c r="K409" s="1" t="str">
        <f t="shared" si="7"/>
        <v>Under Forecast</v>
      </c>
      <c r="L409" s="1">
        <f>F409+J408</f>
        <v>-32</v>
      </c>
      <c r="M409" s="7">
        <f t="shared" si="10"/>
        <v>83.96078431</v>
      </c>
      <c r="N409" s="7">
        <f t="shared" si="8"/>
        <v>-0.3811303129</v>
      </c>
      <c r="O409" s="2" t="str">
        <f t="shared" si="9"/>
        <v>Acceptable</v>
      </c>
    </row>
    <row r="410" ht="15.75" customHeight="1">
      <c r="A410" s="1" t="s">
        <v>62</v>
      </c>
      <c r="B410" s="1" t="s">
        <v>16</v>
      </c>
      <c r="C410" s="1" t="s">
        <v>17</v>
      </c>
      <c r="D410" s="1">
        <v>998.0</v>
      </c>
      <c r="E410" s="1">
        <v>1025.0</v>
      </c>
      <c r="F410" s="1">
        <f t="shared" si="2"/>
        <v>27</v>
      </c>
      <c r="G410" s="1">
        <f t="shared" si="3"/>
        <v>27</v>
      </c>
      <c r="H410" s="6">
        <f t="shared" si="4"/>
        <v>0.02705410822</v>
      </c>
      <c r="I410" s="6">
        <f t="shared" si="5"/>
        <v>0.9729458918</v>
      </c>
      <c r="J410" s="1">
        <f t="shared" si="6"/>
        <v>27</v>
      </c>
      <c r="K410" s="1" t="str">
        <f t="shared" si="7"/>
        <v>Over Forecast</v>
      </c>
      <c r="L410" s="1">
        <f>F410</f>
        <v>27</v>
      </c>
      <c r="M410" s="7">
        <f t="shared" si="10"/>
        <v>83.82151589</v>
      </c>
      <c r="N410" s="7">
        <f t="shared" si="8"/>
        <v>0.3221130006</v>
      </c>
      <c r="O410" s="2" t="str">
        <f t="shared" si="9"/>
        <v>Acceptable</v>
      </c>
    </row>
    <row r="411" ht="15.75" customHeight="1">
      <c r="A411" s="1" t="s">
        <v>62</v>
      </c>
      <c r="B411" s="1" t="s">
        <v>16</v>
      </c>
      <c r="C411" s="1" t="s">
        <v>18</v>
      </c>
      <c r="D411" s="1">
        <v>982.0</v>
      </c>
      <c r="E411" s="1">
        <v>919.0</v>
      </c>
      <c r="F411" s="1">
        <f t="shared" si="2"/>
        <v>-63</v>
      </c>
      <c r="G411" s="1">
        <f t="shared" si="3"/>
        <v>63</v>
      </c>
      <c r="H411" s="6">
        <f t="shared" si="4"/>
        <v>0.06415478615</v>
      </c>
      <c r="I411" s="6">
        <f t="shared" si="5"/>
        <v>0.9358452138</v>
      </c>
      <c r="J411" s="1">
        <f t="shared" si="6"/>
        <v>-63</v>
      </c>
      <c r="K411" s="1" t="str">
        <f t="shared" si="7"/>
        <v>Under Forecast</v>
      </c>
      <c r="L411" s="1">
        <f>F411+J410</f>
        <v>-36</v>
      </c>
      <c r="M411" s="7">
        <f t="shared" si="10"/>
        <v>83.77073171</v>
      </c>
      <c r="N411" s="7">
        <f t="shared" si="8"/>
        <v>-0.4297443662</v>
      </c>
      <c r="O411" s="2" t="str">
        <f t="shared" si="9"/>
        <v>Acceptable</v>
      </c>
    </row>
    <row r="412" ht="15.75" customHeight="1">
      <c r="A412" s="1" t="s">
        <v>62</v>
      </c>
      <c r="B412" s="1" t="s">
        <v>16</v>
      </c>
      <c r="C412" s="1" t="s">
        <v>19</v>
      </c>
      <c r="D412" s="1">
        <v>1198.0</v>
      </c>
      <c r="E412" s="1">
        <v>1136.0</v>
      </c>
      <c r="F412" s="1">
        <f t="shared" si="2"/>
        <v>-62</v>
      </c>
      <c r="G412" s="1">
        <f t="shared" si="3"/>
        <v>62</v>
      </c>
      <c r="H412" s="6">
        <f t="shared" si="4"/>
        <v>0.05175292154</v>
      </c>
      <c r="I412" s="6">
        <f t="shared" si="5"/>
        <v>0.9482470785</v>
      </c>
      <c r="J412" s="1">
        <f t="shared" si="6"/>
        <v>-62</v>
      </c>
      <c r="K412" s="1" t="str">
        <f t="shared" si="7"/>
        <v>Under Forecast</v>
      </c>
      <c r="L412" s="1">
        <f>F412</f>
        <v>-62</v>
      </c>
      <c r="M412" s="7">
        <f t="shared" si="10"/>
        <v>83.71776156</v>
      </c>
      <c r="N412" s="7">
        <f t="shared" si="8"/>
        <v>-0.7405835852</v>
      </c>
      <c r="O412" s="2" t="str">
        <f t="shared" si="9"/>
        <v>Acceptable</v>
      </c>
    </row>
    <row r="413" ht="15.75" customHeight="1">
      <c r="A413" s="1" t="s">
        <v>62</v>
      </c>
      <c r="B413" s="1" t="s">
        <v>16</v>
      </c>
      <c r="C413" s="1" t="s">
        <v>20</v>
      </c>
      <c r="D413" s="1">
        <v>1197.0</v>
      </c>
      <c r="E413" s="1">
        <v>1146.0</v>
      </c>
      <c r="F413" s="1">
        <f t="shared" si="2"/>
        <v>-51</v>
      </c>
      <c r="G413" s="1">
        <f t="shared" si="3"/>
        <v>51</v>
      </c>
      <c r="H413" s="6">
        <f t="shared" si="4"/>
        <v>0.04260651629</v>
      </c>
      <c r="I413" s="6">
        <f t="shared" si="5"/>
        <v>0.9573934837</v>
      </c>
      <c r="J413" s="1">
        <f t="shared" si="6"/>
        <v>-51</v>
      </c>
      <c r="K413" s="1" t="str">
        <f t="shared" si="7"/>
        <v>Under Forecast</v>
      </c>
      <c r="L413" s="1">
        <f>F413+J412</f>
        <v>-113</v>
      </c>
      <c r="M413" s="7">
        <f t="shared" si="10"/>
        <v>83.63834951</v>
      </c>
      <c r="N413" s="7">
        <f t="shared" si="8"/>
        <v>-1.351054877</v>
      </c>
      <c r="O413" s="2" t="str">
        <f t="shared" si="9"/>
        <v>Acceptable</v>
      </c>
    </row>
    <row r="414" ht="15.75" customHeight="1">
      <c r="A414" s="1" t="s">
        <v>62</v>
      </c>
      <c r="B414" s="1" t="s">
        <v>16</v>
      </c>
      <c r="C414" s="1" t="s">
        <v>21</v>
      </c>
      <c r="D414" s="1">
        <v>1098.0</v>
      </c>
      <c r="E414" s="1">
        <v>1052.0</v>
      </c>
      <c r="F414" s="1">
        <f t="shared" si="2"/>
        <v>-46</v>
      </c>
      <c r="G414" s="1">
        <f t="shared" si="3"/>
        <v>46</v>
      </c>
      <c r="H414" s="6">
        <f t="shared" si="4"/>
        <v>0.04189435337</v>
      </c>
      <c r="I414" s="6">
        <f t="shared" si="5"/>
        <v>0.9581056466</v>
      </c>
      <c r="J414" s="1">
        <f t="shared" si="6"/>
        <v>-46</v>
      </c>
      <c r="K414" s="1" t="str">
        <f t="shared" si="7"/>
        <v>Under Forecast</v>
      </c>
      <c r="L414" s="1">
        <f>F414</f>
        <v>-46</v>
      </c>
      <c r="M414" s="7">
        <f t="shared" si="10"/>
        <v>83.5472155</v>
      </c>
      <c r="N414" s="7">
        <f t="shared" si="8"/>
        <v>-0.5505868715</v>
      </c>
      <c r="O414" s="2" t="str">
        <f t="shared" si="9"/>
        <v>Acceptable</v>
      </c>
    </row>
    <row r="415" ht="15.75" customHeight="1">
      <c r="A415" s="1" t="s">
        <v>62</v>
      </c>
      <c r="B415" s="1" t="s">
        <v>16</v>
      </c>
      <c r="C415" s="1" t="s">
        <v>22</v>
      </c>
      <c r="D415" s="1">
        <v>1269.0</v>
      </c>
      <c r="E415" s="1">
        <v>1341.0</v>
      </c>
      <c r="F415" s="1">
        <f t="shared" si="2"/>
        <v>72</v>
      </c>
      <c r="G415" s="1">
        <f t="shared" si="3"/>
        <v>72</v>
      </c>
      <c r="H415" s="6">
        <f t="shared" si="4"/>
        <v>0.05673758865</v>
      </c>
      <c r="I415" s="6">
        <f t="shared" si="5"/>
        <v>0.9432624113</v>
      </c>
      <c r="J415" s="1">
        <f t="shared" si="6"/>
        <v>72</v>
      </c>
      <c r="K415" s="1" t="str">
        <f t="shared" si="7"/>
        <v>Over Forecast</v>
      </c>
      <c r="L415" s="1">
        <f>F415+J414</f>
        <v>26</v>
      </c>
      <c r="M415" s="7">
        <f t="shared" si="10"/>
        <v>83.51932367</v>
      </c>
      <c r="N415" s="7">
        <f t="shared" si="8"/>
        <v>0.3113052029</v>
      </c>
      <c r="O415" s="2" t="str">
        <f t="shared" si="9"/>
        <v>Acceptable</v>
      </c>
    </row>
    <row r="416" ht="15.75" customHeight="1">
      <c r="A416" s="1" t="s">
        <v>62</v>
      </c>
      <c r="B416" s="1" t="s">
        <v>16</v>
      </c>
      <c r="C416" s="1" t="s">
        <v>23</v>
      </c>
      <c r="D416" s="1">
        <v>1317.0</v>
      </c>
      <c r="E416" s="1">
        <v>1295.0</v>
      </c>
      <c r="F416" s="1">
        <f t="shared" si="2"/>
        <v>-22</v>
      </c>
      <c r="G416" s="1">
        <f t="shared" si="3"/>
        <v>22</v>
      </c>
      <c r="H416" s="6">
        <f t="shared" si="4"/>
        <v>0.01670463174</v>
      </c>
      <c r="I416" s="6">
        <f t="shared" si="5"/>
        <v>0.9832953683</v>
      </c>
      <c r="J416" s="1">
        <f t="shared" si="6"/>
        <v>-22</v>
      </c>
      <c r="K416" s="1" t="str">
        <f t="shared" si="7"/>
        <v>Under Forecast</v>
      </c>
      <c r="L416" s="1">
        <f>F416</f>
        <v>-22</v>
      </c>
      <c r="M416" s="7">
        <f t="shared" si="10"/>
        <v>83.37108434</v>
      </c>
      <c r="N416" s="7">
        <f t="shared" si="8"/>
        <v>-0.263880459</v>
      </c>
      <c r="O416" s="2" t="str">
        <f t="shared" si="9"/>
        <v>Acceptable</v>
      </c>
    </row>
    <row r="417" ht="15.75" customHeight="1">
      <c r="A417" s="1" t="s">
        <v>62</v>
      </c>
      <c r="B417" s="1" t="s">
        <v>16</v>
      </c>
      <c r="C417" s="1" t="s">
        <v>24</v>
      </c>
      <c r="D417" s="1">
        <v>1230.0</v>
      </c>
      <c r="E417" s="1">
        <v>1171.0</v>
      </c>
      <c r="F417" s="1">
        <f t="shared" si="2"/>
        <v>-59</v>
      </c>
      <c r="G417" s="1">
        <f t="shared" si="3"/>
        <v>59</v>
      </c>
      <c r="H417" s="6">
        <f t="shared" si="4"/>
        <v>0.04796747967</v>
      </c>
      <c r="I417" s="6">
        <f t="shared" si="5"/>
        <v>0.9520325203</v>
      </c>
      <c r="J417" s="1">
        <f t="shared" si="6"/>
        <v>-59</v>
      </c>
      <c r="K417" s="1" t="str">
        <f t="shared" si="7"/>
        <v>Under Forecast</v>
      </c>
      <c r="L417" s="1">
        <f>F417+J416</f>
        <v>-81</v>
      </c>
      <c r="M417" s="7">
        <f t="shared" si="10"/>
        <v>83.3125</v>
      </c>
      <c r="N417" s="7">
        <f t="shared" si="8"/>
        <v>-0.9722430608</v>
      </c>
      <c r="O417" s="2" t="str">
        <f t="shared" si="9"/>
        <v>Acceptable</v>
      </c>
    </row>
    <row r="418" ht="15.75" customHeight="1">
      <c r="A418" s="1" t="s">
        <v>62</v>
      </c>
      <c r="B418" s="1" t="s">
        <v>16</v>
      </c>
      <c r="C418" s="1" t="s">
        <v>25</v>
      </c>
      <c r="D418" s="1">
        <v>1076.0</v>
      </c>
      <c r="E418" s="1">
        <v>1144.0</v>
      </c>
      <c r="F418" s="1">
        <f t="shared" si="2"/>
        <v>68</v>
      </c>
      <c r="G418" s="1">
        <f t="shared" si="3"/>
        <v>68</v>
      </c>
      <c r="H418" s="6">
        <f t="shared" si="4"/>
        <v>0.06319702602</v>
      </c>
      <c r="I418" s="6">
        <f t="shared" si="5"/>
        <v>0.936802974</v>
      </c>
      <c r="J418" s="1">
        <f t="shared" si="6"/>
        <v>68</v>
      </c>
      <c r="K418" s="1" t="str">
        <f t="shared" si="7"/>
        <v>Over Forecast</v>
      </c>
      <c r="L418" s="1">
        <f>F418</f>
        <v>68</v>
      </c>
      <c r="M418" s="7">
        <f t="shared" si="10"/>
        <v>83.27577938</v>
      </c>
      <c r="N418" s="7">
        <f t="shared" si="8"/>
        <v>0.8165639578</v>
      </c>
      <c r="O418" s="2" t="str">
        <f t="shared" si="9"/>
        <v>Acceptable</v>
      </c>
    </row>
    <row r="419" ht="15.75" customHeight="1">
      <c r="A419" s="1" t="s">
        <v>62</v>
      </c>
      <c r="B419" s="1" t="s">
        <v>16</v>
      </c>
      <c r="C419" s="1" t="s">
        <v>26</v>
      </c>
      <c r="D419" s="1">
        <v>992.0</v>
      </c>
      <c r="E419" s="1">
        <v>926.0</v>
      </c>
      <c r="F419" s="1">
        <f t="shared" si="2"/>
        <v>-66</v>
      </c>
      <c r="G419" s="1">
        <f t="shared" si="3"/>
        <v>66</v>
      </c>
      <c r="H419" s="6">
        <f t="shared" si="4"/>
        <v>0.06653225806</v>
      </c>
      <c r="I419" s="6">
        <f t="shared" si="5"/>
        <v>0.9334677419</v>
      </c>
      <c r="J419" s="1">
        <f t="shared" si="6"/>
        <v>-66</v>
      </c>
      <c r="K419" s="1" t="str">
        <f t="shared" si="7"/>
        <v>Under Forecast</v>
      </c>
      <c r="L419" s="1">
        <f>F419+J418</f>
        <v>2</v>
      </c>
      <c r="M419" s="7">
        <f t="shared" si="10"/>
        <v>83.23444976</v>
      </c>
      <c r="N419" s="7">
        <f t="shared" si="8"/>
        <v>0.0240285123</v>
      </c>
      <c r="O419" s="2" t="str">
        <f t="shared" si="9"/>
        <v>Acceptable</v>
      </c>
    </row>
    <row r="420" ht="15.75" customHeight="1">
      <c r="A420" s="1" t="s">
        <v>62</v>
      </c>
      <c r="B420" s="1" t="s">
        <v>16</v>
      </c>
      <c r="C420" s="1" t="s">
        <v>27</v>
      </c>
      <c r="D420" s="1">
        <v>1013.0</v>
      </c>
      <c r="E420" s="1">
        <v>936.0</v>
      </c>
      <c r="F420" s="1">
        <f t="shared" si="2"/>
        <v>-77</v>
      </c>
      <c r="G420" s="1">
        <f t="shared" si="3"/>
        <v>77</v>
      </c>
      <c r="H420" s="6">
        <f t="shared" si="4"/>
        <v>0.076011846</v>
      </c>
      <c r="I420" s="6">
        <f t="shared" si="5"/>
        <v>0.923988154</v>
      </c>
      <c r="J420" s="1">
        <f t="shared" si="6"/>
        <v>-77</v>
      </c>
      <c r="K420" s="1" t="str">
        <f t="shared" si="7"/>
        <v>Under Forecast</v>
      </c>
      <c r="L420" s="1">
        <f>F420</f>
        <v>-77</v>
      </c>
      <c r="M420" s="7">
        <f t="shared" si="10"/>
        <v>83.21957041</v>
      </c>
      <c r="N420" s="7">
        <f t="shared" si="8"/>
        <v>-0.9252631277</v>
      </c>
      <c r="O420" s="2" t="str">
        <f t="shared" si="9"/>
        <v>Acceptable</v>
      </c>
    </row>
    <row r="421" ht="15.75" customHeight="1">
      <c r="A421" s="1" t="s">
        <v>62</v>
      </c>
      <c r="B421" s="1" t="s">
        <v>16</v>
      </c>
      <c r="C421" s="1" t="s">
        <v>28</v>
      </c>
      <c r="D421" s="1">
        <v>975.0</v>
      </c>
      <c r="E421" s="1">
        <v>987.0</v>
      </c>
      <c r="F421" s="1">
        <f t="shared" si="2"/>
        <v>12</v>
      </c>
      <c r="G421" s="1">
        <f t="shared" si="3"/>
        <v>12</v>
      </c>
      <c r="H421" s="6">
        <f t="shared" si="4"/>
        <v>0.01230769231</v>
      </c>
      <c r="I421" s="6">
        <f t="shared" si="5"/>
        <v>0.9876923077</v>
      </c>
      <c r="J421" s="1">
        <f t="shared" si="6"/>
        <v>12</v>
      </c>
      <c r="K421" s="1" t="str">
        <f t="shared" si="7"/>
        <v>Over Forecast</v>
      </c>
      <c r="L421" s="1">
        <f>F421+J420</f>
        <v>-65</v>
      </c>
      <c r="M421" s="7">
        <f t="shared" si="10"/>
        <v>83.05</v>
      </c>
      <c r="N421" s="7">
        <f t="shared" si="8"/>
        <v>-0.7826610476</v>
      </c>
      <c r="O421" s="2" t="str">
        <f t="shared" si="9"/>
        <v>Acceptable</v>
      </c>
    </row>
    <row r="422" ht="15.75" customHeight="1">
      <c r="A422" s="1" t="s">
        <v>63</v>
      </c>
      <c r="B422" s="1" t="s">
        <v>16</v>
      </c>
      <c r="C422" s="1" t="s">
        <v>17</v>
      </c>
      <c r="D422" s="1">
        <v>1568.0</v>
      </c>
      <c r="E422" s="1">
        <v>1520.0</v>
      </c>
      <c r="F422" s="1">
        <f t="shared" si="2"/>
        <v>-48</v>
      </c>
      <c r="G422" s="1">
        <f t="shared" si="3"/>
        <v>48</v>
      </c>
      <c r="H422" s="6">
        <f t="shared" si="4"/>
        <v>0.0306122449</v>
      </c>
      <c r="I422" s="6">
        <f t="shared" si="5"/>
        <v>0.9693877551</v>
      </c>
      <c r="J422" s="1">
        <f t="shared" si="6"/>
        <v>-48</v>
      </c>
      <c r="K422" s="1" t="str">
        <f t="shared" si="7"/>
        <v>Under Forecast</v>
      </c>
      <c r="L422" s="1">
        <f>F422</f>
        <v>-48</v>
      </c>
      <c r="M422" s="7">
        <f t="shared" si="10"/>
        <v>82.96674584</v>
      </c>
      <c r="N422" s="7">
        <f t="shared" si="8"/>
        <v>-0.5785450485</v>
      </c>
      <c r="O422" s="2" t="str">
        <f t="shared" si="9"/>
        <v>Acceptable</v>
      </c>
    </row>
    <row r="423" ht="15.75" customHeight="1">
      <c r="A423" s="1" t="s">
        <v>63</v>
      </c>
      <c r="B423" s="1" t="s">
        <v>16</v>
      </c>
      <c r="C423" s="1" t="s">
        <v>18</v>
      </c>
      <c r="D423" s="1">
        <v>1472.0</v>
      </c>
      <c r="E423" s="1">
        <v>1474.0</v>
      </c>
      <c r="F423" s="1">
        <f t="shared" si="2"/>
        <v>2</v>
      </c>
      <c r="G423" s="1">
        <f t="shared" si="3"/>
        <v>2</v>
      </c>
      <c r="H423" s="6">
        <f t="shared" si="4"/>
        <v>0.001358695652</v>
      </c>
      <c r="I423" s="6">
        <f t="shared" si="5"/>
        <v>0.9986413043</v>
      </c>
      <c r="J423" s="1">
        <f t="shared" si="6"/>
        <v>2</v>
      </c>
      <c r="K423" s="1" t="str">
        <f t="shared" si="7"/>
        <v>Over Forecast</v>
      </c>
      <c r="L423" s="1">
        <f>F423+J422</f>
        <v>-46</v>
      </c>
      <c r="M423" s="7">
        <f t="shared" si="10"/>
        <v>82.77488152</v>
      </c>
      <c r="N423" s="7">
        <f t="shared" si="8"/>
        <v>-0.5557241419</v>
      </c>
      <c r="O423" s="2" t="str">
        <f t="shared" si="9"/>
        <v>Acceptable</v>
      </c>
    </row>
    <row r="424" ht="15.75" customHeight="1">
      <c r="A424" s="1" t="s">
        <v>63</v>
      </c>
      <c r="B424" s="1" t="s">
        <v>16</v>
      </c>
      <c r="C424" s="1" t="s">
        <v>19</v>
      </c>
      <c r="D424" s="1">
        <v>1569.0</v>
      </c>
      <c r="E424" s="1">
        <v>1373.0</v>
      </c>
      <c r="F424" s="1">
        <f t="shared" si="2"/>
        <v>-196</v>
      </c>
      <c r="G424" s="1">
        <f t="shared" si="3"/>
        <v>196</v>
      </c>
      <c r="H424" s="6">
        <f t="shared" si="4"/>
        <v>0.1249203314</v>
      </c>
      <c r="I424" s="6">
        <f t="shared" si="5"/>
        <v>0.8750796686</v>
      </c>
      <c r="J424" s="1">
        <f t="shared" si="6"/>
        <v>-196</v>
      </c>
      <c r="K424" s="1" t="str">
        <f t="shared" si="7"/>
        <v>Under Forecast</v>
      </c>
      <c r="L424" s="1">
        <f>F424</f>
        <v>-196</v>
      </c>
      <c r="M424" s="7">
        <f t="shared" si="10"/>
        <v>83.04255319</v>
      </c>
      <c r="N424" s="7">
        <f t="shared" si="8"/>
        <v>-2.360235716</v>
      </c>
      <c r="O424" s="2" t="str">
        <f t="shared" si="9"/>
        <v>Acceptable</v>
      </c>
    </row>
    <row r="425" ht="15.75" customHeight="1">
      <c r="A425" s="1" t="s">
        <v>63</v>
      </c>
      <c r="B425" s="1" t="s">
        <v>16</v>
      </c>
      <c r="C425" s="1" t="s">
        <v>20</v>
      </c>
      <c r="D425" s="1">
        <v>1803.0</v>
      </c>
      <c r="E425" s="1">
        <v>1668.0</v>
      </c>
      <c r="F425" s="1">
        <f t="shared" si="2"/>
        <v>-135</v>
      </c>
      <c r="G425" s="1">
        <f t="shared" si="3"/>
        <v>135</v>
      </c>
      <c r="H425" s="6">
        <f t="shared" si="4"/>
        <v>0.07487520799</v>
      </c>
      <c r="I425" s="6">
        <f t="shared" si="5"/>
        <v>0.925124792</v>
      </c>
      <c r="J425" s="1">
        <f t="shared" si="6"/>
        <v>-135</v>
      </c>
      <c r="K425" s="1" t="str">
        <f t="shared" si="7"/>
        <v>Under Forecast</v>
      </c>
      <c r="L425" s="1">
        <f>F425+J424</f>
        <v>-331</v>
      </c>
      <c r="M425" s="7">
        <f t="shared" si="10"/>
        <v>83.16509434</v>
      </c>
      <c r="N425" s="7">
        <f t="shared" si="8"/>
        <v>-3.980035165</v>
      </c>
      <c r="O425" s="2" t="str">
        <f t="shared" si="9"/>
        <v>Acceptable</v>
      </c>
    </row>
    <row r="426" ht="15.75" customHeight="1">
      <c r="A426" s="1" t="s">
        <v>63</v>
      </c>
      <c r="B426" s="1" t="s">
        <v>16</v>
      </c>
      <c r="C426" s="1" t="s">
        <v>21</v>
      </c>
      <c r="D426" s="1">
        <v>1868.0</v>
      </c>
      <c r="E426" s="1">
        <v>1733.0</v>
      </c>
      <c r="F426" s="1">
        <f t="shared" si="2"/>
        <v>-135</v>
      </c>
      <c r="G426" s="1">
        <f t="shared" si="3"/>
        <v>135</v>
      </c>
      <c r="H426" s="6">
        <f t="shared" si="4"/>
        <v>0.07226980728</v>
      </c>
      <c r="I426" s="6">
        <f t="shared" si="5"/>
        <v>0.9277301927</v>
      </c>
      <c r="J426" s="1">
        <f t="shared" si="6"/>
        <v>-135</v>
      </c>
      <c r="K426" s="1" t="str">
        <f t="shared" si="7"/>
        <v>Under Forecast</v>
      </c>
      <c r="L426" s="1">
        <f>F426</f>
        <v>-135</v>
      </c>
      <c r="M426" s="7">
        <f t="shared" si="10"/>
        <v>83.28705882</v>
      </c>
      <c r="N426" s="7">
        <f t="shared" si="8"/>
        <v>-1.620900076</v>
      </c>
      <c r="O426" s="2" t="str">
        <f t="shared" si="9"/>
        <v>Acceptable</v>
      </c>
    </row>
    <row r="427" ht="15.75" customHeight="1">
      <c r="A427" s="1" t="s">
        <v>63</v>
      </c>
      <c r="B427" s="1" t="s">
        <v>16</v>
      </c>
      <c r="C427" s="1" t="s">
        <v>22</v>
      </c>
      <c r="D427" s="1">
        <v>1969.0</v>
      </c>
      <c r="E427" s="1">
        <v>1782.0</v>
      </c>
      <c r="F427" s="1">
        <f t="shared" si="2"/>
        <v>-187</v>
      </c>
      <c r="G427" s="1">
        <f t="shared" si="3"/>
        <v>187</v>
      </c>
      <c r="H427" s="6">
        <f t="shared" si="4"/>
        <v>0.09497206704</v>
      </c>
      <c r="I427" s="6">
        <f t="shared" si="5"/>
        <v>0.905027933</v>
      </c>
      <c r="J427" s="1">
        <f t="shared" si="6"/>
        <v>-187</v>
      </c>
      <c r="K427" s="1" t="str">
        <f t="shared" si="7"/>
        <v>Under Forecast</v>
      </c>
      <c r="L427" s="1">
        <f>F427+J426</f>
        <v>-322</v>
      </c>
      <c r="M427" s="7">
        <f t="shared" si="10"/>
        <v>83.53051643</v>
      </c>
      <c r="N427" s="7">
        <f t="shared" si="8"/>
        <v>-3.854878597</v>
      </c>
      <c r="O427" s="2" t="str">
        <f t="shared" si="9"/>
        <v>Acceptable</v>
      </c>
    </row>
    <row r="428" ht="15.75" customHeight="1">
      <c r="A428" s="1" t="s">
        <v>63</v>
      </c>
      <c r="B428" s="1" t="s">
        <v>16</v>
      </c>
      <c r="C428" s="1" t="s">
        <v>23</v>
      </c>
      <c r="D428" s="1">
        <v>2084.0</v>
      </c>
      <c r="E428" s="1">
        <v>2073.0</v>
      </c>
      <c r="F428" s="1">
        <f t="shared" si="2"/>
        <v>-11</v>
      </c>
      <c r="G428" s="1">
        <f t="shared" si="3"/>
        <v>11</v>
      </c>
      <c r="H428" s="6">
        <f t="shared" si="4"/>
        <v>0.00527831094</v>
      </c>
      <c r="I428" s="6">
        <f t="shared" si="5"/>
        <v>0.9947216891</v>
      </c>
      <c r="J428" s="1">
        <f t="shared" si="6"/>
        <v>-11</v>
      </c>
      <c r="K428" s="1" t="str">
        <f t="shared" si="7"/>
        <v>Under Forecast</v>
      </c>
      <c r="L428" s="1">
        <f>F428</f>
        <v>-11</v>
      </c>
      <c r="M428" s="7">
        <f t="shared" si="10"/>
        <v>83.36065574</v>
      </c>
      <c r="N428" s="7">
        <f t="shared" si="8"/>
        <v>-0.1319567355</v>
      </c>
      <c r="O428" s="2" t="str">
        <f t="shared" si="9"/>
        <v>Acceptable</v>
      </c>
    </row>
    <row r="429" ht="15.75" customHeight="1">
      <c r="A429" s="1" t="s">
        <v>63</v>
      </c>
      <c r="B429" s="1" t="s">
        <v>16</v>
      </c>
      <c r="C429" s="1" t="s">
        <v>24</v>
      </c>
      <c r="D429" s="1">
        <v>1725.0</v>
      </c>
      <c r="E429" s="1">
        <v>1656.0</v>
      </c>
      <c r="F429" s="1">
        <f t="shared" si="2"/>
        <v>-69</v>
      </c>
      <c r="G429" s="1">
        <f t="shared" si="3"/>
        <v>69</v>
      </c>
      <c r="H429" s="6">
        <f t="shared" si="4"/>
        <v>0.04</v>
      </c>
      <c r="I429" s="6">
        <f t="shared" si="5"/>
        <v>0.96</v>
      </c>
      <c r="J429" s="1">
        <f t="shared" si="6"/>
        <v>-69</v>
      </c>
      <c r="K429" s="1" t="str">
        <f t="shared" si="7"/>
        <v>Under Forecast</v>
      </c>
      <c r="L429" s="1">
        <f>F429+J428</f>
        <v>-80</v>
      </c>
      <c r="M429" s="7">
        <f t="shared" si="10"/>
        <v>83.3271028</v>
      </c>
      <c r="N429" s="7">
        <f t="shared" si="8"/>
        <v>-0.9600717811</v>
      </c>
      <c r="O429" s="2" t="str">
        <f t="shared" si="9"/>
        <v>Acceptable</v>
      </c>
    </row>
    <row r="430" ht="15.75" customHeight="1">
      <c r="A430" s="1" t="s">
        <v>63</v>
      </c>
      <c r="B430" s="1" t="s">
        <v>16</v>
      </c>
      <c r="C430" s="1" t="s">
        <v>25</v>
      </c>
      <c r="D430" s="1">
        <v>1972.0</v>
      </c>
      <c r="E430" s="1">
        <v>1864.0</v>
      </c>
      <c r="F430" s="1">
        <f t="shared" si="2"/>
        <v>-108</v>
      </c>
      <c r="G430" s="1">
        <f t="shared" si="3"/>
        <v>108</v>
      </c>
      <c r="H430" s="6">
        <f t="shared" si="4"/>
        <v>0.05476673428</v>
      </c>
      <c r="I430" s="6">
        <f t="shared" si="5"/>
        <v>0.9452332657</v>
      </c>
      <c r="J430" s="1">
        <f t="shared" si="6"/>
        <v>-108</v>
      </c>
      <c r="K430" s="1" t="str">
        <f t="shared" si="7"/>
        <v>Under Forecast</v>
      </c>
      <c r="L430" s="1">
        <f>F430</f>
        <v>-108</v>
      </c>
      <c r="M430" s="7">
        <f t="shared" si="10"/>
        <v>83.38461538</v>
      </c>
      <c r="N430" s="7">
        <f t="shared" si="8"/>
        <v>-1.295202952</v>
      </c>
      <c r="O430" s="2" t="str">
        <f t="shared" si="9"/>
        <v>Acceptable</v>
      </c>
    </row>
    <row r="431" ht="15.75" customHeight="1">
      <c r="A431" s="1" t="s">
        <v>63</v>
      </c>
      <c r="B431" s="1" t="s">
        <v>16</v>
      </c>
      <c r="C431" s="1" t="s">
        <v>26</v>
      </c>
      <c r="D431" s="1">
        <v>1680.0</v>
      </c>
      <c r="E431" s="1">
        <v>1591.0</v>
      </c>
      <c r="F431" s="1">
        <f t="shared" si="2"/>
        <v>-89</v>
      </c>
      <c r="G431" s="1">
        <f t="shared" si="3"/>
        <v>89</v>
      </c>
      <c r="H431" s="6">
        <f t="shared" si="4"/>
        <v>0.05297619048</v>
      </c>
      <c r="I431" s="6">
        <f t="shared" si="5"/>
        <v>0.9470238095</v>
      </c>
      <c r="J431" s="1">
        <f t="shared" si="6"/>
        <v>-89</v>
      </c>
      <c r="K431" s="1" t="str">
        <f t="shared" si="7"/>
        <v>Under Forecast</v>
      </c>
      <c r="L431" s="1">
        <f>F431+J430</f>
        <v>-197</v>
      </c>
      <c r="M431" s="7">
        <f t="shared" si="10"/>
        <v>83.39767442</v>
      </c>
      <c r="N431" s="7">
        <f t="shared" si="8"/>
        <v>-2.36217618</v>
      </c>
      <c r="O431" s="2" t="str">
        <f t="shared" si="9"/>
        <v>Acceptable</v>
      </c>
    </row>
    <row r="432" ht="15.75" customHeight="1">
      <c r="A432" s="1" t="s">
        <v>63</v>
      </c>
      <c r="B432" s="1" t="s">
        <v>16</v>
      </c>
      <c r="C432" s="1" t="s">
        <v>27</v>
      </c>
      <c r="D432" s="1">
        <v>1795.0</v>
      </c>
      <c r="E432" s="1">
        <v>1774.0</v>
      </c>
      <c r="F432" s="1">
        <f t="shared" si="2"/>
        <v>-21</v>
      </c>
      <c r="G432" s="1">
        <f t="shared" si="3"/>
        <v>21</v>
      </c>
      <c r="H432" s="6">
        <f t="shared" si="4"/>
        <v>0.01169916435</v>
      </c>
      <c r="I432" s="6">
        <f t="shared" si="5"/>
        <v>0.9883008357</v>
      </c>
      <c r="J432" s="1">
        <f t="shared" si="6"/>
        <v>-21</v>
      </c>
      <c r="K432" s="1" t="str">
        <f t="shared" si="7"/>
        <v>Under Forecast</v>
      </c>
      <c r="L432" s="1">
        <f>F432</f>
        <v>-21</v>
      </c>
      <c r="M432" s="7">
        <f t="shared" si="10"/>
        <v>83.25290023</v>
      </c>
      <c r="N432" s="7">
        <f t="shared" si="8"/>
        <v>-0.2522434647</v>
      </c>
      <c r="O432" s="2" t="str">
        <f t="shared" si="9"/>
        <v>Acceptable</v>
      </c>
    </row>
    <row r="433" ht="15.75" customHeight="1">
      <c r="A433" s="1" t="s">
        <v>63</v>
      </c>
      <c r="B433" s="1" t="s">
        <v>16</v>
      </c>
      <c r="C433" s="1" t="s">
        <v>28</v>
      </c>
      <c r="D433" s="1">
        <v>1837.0</v>
      </c>
      <c r="E433" s="1">
        <v>1716.0</v>
      </c>
      <c r="F433" s="1">
        <f t="shared" si="2"/>
        <v>-121</v>
      </c>
      <c r="G433" s="1">
        <f t="shared" si="3"/>
        <v>121</v>
      </c>
      <c r="H433" s="6">
        <f t="shared" si="4"/>
        <v>0.06586826347</v>
      </c>
      <c r="I433" s="6">
        <f t="shared" si="5"/>
        <v>0.9341317365</v>
      </c>
      <c r="J433" s="1">
        <f t="shared" si="6"/>
        <v>-121</v>
      </c>
      <c r="K433" s="1" t="str">
        <f t="shared" si="7"/>
        <v>Under Forecast</v>
      </c>
      <c r="L433" s="1">
        <f>F433+J432</f>
        <v>-142</v>
      </c>
      <c r="M433" s="7">
        <f t="shared" si="10"/>
        <v>83.34027778</v>
      </c>
      <c r="N433" s="7">
        <f t="shared" si="8"/>
        <v>-1.703858012</v>
      </c>
      <c r="O433" s="2" t="str">
        <f t="shared" si="9"/>
        <v>Acceptable</v>
      </c>
    </row>
    <row r="434" ht="15.75" customHeight="1">
      <c r="A434" s="1" t="s">
        <v>64</v>
      </c>
      <c r="B434" s="1" t="s">
        <v>16</v>
      </c>
      <c r="C434" s="1" t="s">
        <v>17</v>
      </c>
      <c r="D434" s="1">
        <v>1270.0</v>
      </c>
      <c r="E434" s="1">
        <v>1139.0</v>
      </c>
      <c r="F434" s="1">
        <f t="shared" si="2"/>
        <v>-131</v>
      </c>
      <c r="G434" s="1">
        <f t="shared" si="3"/>
        <v>131</v>
      </c>
      <c r="H434" s="6">
        <f t="shared" si="4"/>
        <v>0.1031496063</v>
      </c>
      <c r="I434" s="6">
        <f t="shared" si="5"/>
        <v>0.8968503937</v>
      </c>
      <c r="J434" s="1">
        <f t="shared" si="6"/>
        <v>-131</v>
      </c>
      <c r="K434" s="1" t="str">
        <f t="shared" si="7"/>
        <v>Under Forecast</v>
      </c>
      <c r="L434" s="1">
        <f>F434</f>
        <v>-131</v>
      </c>
      <c r="M434" s="7">
        <f t="shared" si="10"/>
        <v>83.45034642</v>
      </c>
      <c r="N434" s="7">
        <f t="shared" si="8"/>
        <v>-1.56979576</v>
      </c>
      <c r="O434" s="2" t="str">
        <f t="shared" si="9"/>
        <v>Acceptable</v>
      </c>
    </row>
    <row r="435" ht="15.75" customHeight="1">
      <c r="A435" s="1" t="s">
        <v>64</v>
      </c>
      <c r="B435" s="1" t="s">
        <v>16</v>
      </c>
      <c r="C435" s="1" t="s">
        <v>18</v>
      </c>
      <c r="D435" s="1">
        <v>1281.0</v>
      </c>
      <c r="E435" s="1">
        <v>1118.0</v>
      </c>
      <c r="F435" s="1">
        <f t="shared" si="2"/>
        <v>-163</v>
      </c>
      <c r="G435" s="1">
        <f t="shared" si="3"/>
        <v>163</v>
      </c>
      <c r="H435" s="6">
        <f t="shared" si="4"/>
        <v>0.1272443404</v>
      </c>
      <c r="I435" s="6">
        <f t="shared" si="5"/>
        <v>0.8727556596</v>
      </c>
      <c r="J435" s="1">
        <f t="shared" si="6"/>
        <v>-163</v>
      </c>
      <c r="K435" s="1" t="str">
        <f t="shared" si="7"/>
        <v>Under Forecast</v>
      </c>
      <c r="L435" s="1">
        <f>F435+J434</f>
        <v>-294</v>
      </c>
      <c r="M435" s="7">
        <f t="shared" si="10"/>
        <v>83.63364055</v>
      </c>
      <c r="N435" s="7">
        <f t="shared" si="8"/>
        <v>-3.515331846</v>
      </c>
      <c r="O435" s="2" t="str">
        <f t="shared" si="9"/>
        <v>Acceptable</v>
      </c>
    </row>
    <row r="436" ht="15.75" customHeight="1">
      <c r="A436" s="1" t="s">
        <v>64</v>
      </c>
      <c r="B436" s="1" t="s">
        <v>16</v>
      </c>
      <c r="C436" s="1" t="s">
        <v>19</v>
      </c>
      <c r="D436" s="1">
        <v>1557.0</v>
      </c>
      <c r="E436" s="1">
        <v>1383.0</v>
      </c>
      <c r="F436" s="1">
        <f t="shared" si="2"/>
        <v>-174</v>
      </c>
      <c r="G436" s="1">
        <f t="shared" si="3"/>
        <v>174</v>
      </c>
      <c r="H436" s="6">
        <f t="shared" si="4"/>
        <v>0.1117533719</v>
      </c>
      <c r="I436" s="6">
        <f t="shared" si="5"/>
        <v>0.8882466281</v>
      </c>
      <c r="J436" s="1">
        <f t="shared" si="6"/>
        <v>-174</v>
      </c>
      <c r="K436" s="1" t="str">
        <f t="shared" si="7"/>
        <v>Under Forecast</v>
      </c>
      <c r="L436" s="1">
        <f>F436</f>
        <v>-174</v>
      </c>
      <c r="M436" s="7">
        <f t="shared" si="10"/>
        <v>83.84137931</v>
      </c>
      <c r="N436" s="7">
        <f t="shared" si="8"/>
        <v>-2.075347536</v>
      </c>
      <c r="O436" s="2" t="str">
        <f t="shared" si="9"/>
        <v>Acceptable</v>
      </c>
    </row>
    <row r="437" ht="15.75" customHeight="1">
      <c r="A437" s="1" t="s">
        <v>64</v>
      </c>
      <c r="B437" s="1" t="s">
        <v>16</v>
      </c>
      <c r="C437" s="1" t="s">
        <v>20</v>
      </c>
      <c r="D437" s="1">
        <v>1547.0</v>
      </c>
      <c r="E437" s="1">
        <v>1413.0</v>
      </c>
      <c r="F437" s="1">
        <f t="shared" si="2"/>
        <v>-134</v>
      </c>
      <c r="G437" s="1">
        <f t="shared" si="3"/>
        <v>134</v>
      </c>
      <c r="H437" s="6">
        <f t="shared" si="4"/>
        <v>0.08661926309</v>
      </c>
      <c r="I437" s="6">
        <f t="shared" si="5"/>
        <v>0.9133807369</v>
      </c>
      <c r="J437" s="1">
        <f t="shared" si="6"/>
        <v>-134</v>
      </c>
      <c r="K437" s="1" t="str">
        <f t="shared" si="7"/>
        <v>Under Forecast</v>
      </c>
      <c r="L437" s="1">
        <f>F437+J436</f>
        <v>-308</v>
      </c>
      <c r="M437" s="7">
        <f t="shared" si="10"/>
        <v>83.95642202</v>
      </c>
      <c r="N437" s="7">
        <f t="shared" si="8"/>
        <v>-3.668569868</v>
      </c>
      <c r="O437" s="2" t="str">
        <f t="shared" si="9"/>
        <v>Acceptable</v>
      </c>
    </row>
    <row r="438" ht="15.75" customHeight="1">
      <c r="A438" s="1" t="s">
        <v>64</v>
      </c>
      <c r="B438" s="1" t="s">
        <v>16</v>
      </c>
      <c r="C438" s="1" t="s">
        <v>21</v>
      </c>
      <c r="D438" s="1">
        <v>1631.0</v>
      </c>
      <c r="E438" s="1">
        <v>1588.0</v>
      </c>
      <c r="F438" s="1">
        <f t="shared" si="2"/>
        <v>-43</v>
      </c>
      <c r="G438" s="1">
        <f t="shared" si="3"/>
        <v>43</v>
      </c>
      <c r="H438" s="6">
        <f t="shared" si="4"/>
        <v>0.02636419375</v>
      </c>
      <c r="I438" s="6">
        <f t="shared" si="5"/>
        <v>0.9736358063</v>
      </c>
      <c r="J438" s="1">
        <f t="shared" si="6"/>
        <v>-43</v>
      </c>
      <c r="K438" s="1" t="str">
        <f t="shared" si="7"/>
        <v>Under Forecast</v>
      </c>
      <c r="L438" s="1">
        <f>F438</f>
        <v>-43</v>
      </c>
      <c r="M438" s="7">
        <f t="shared" si="10"/>
        <v>83.86270023</v>
      </c>
      <c r="N438" s="7">
        <f t="shared" si="8"/>
        <v>-0.5127428509</v>
      </c>
      <c r="O438" s="2" t="str">
        <f t="shared" si="9"/>
        <v>Acceptable</v>
      </c>
    </row>
    <row r="439" ht="15.75" customHeight="1">
      <c r="A439" s="1" t="s">
        <v>64</v>
      </c>
      <c r="B439" s="1" t="s">
        <v>16</v>
      </c>
      <c r="C439" s="1" t="s">
        <v>22</v>
      </c>
      <c r="D439" s="1">
        <v>1803.0</v>
      </c>
      <c r="E439" s="1">
        <v>1628.0</v>
      </c>
      <c r="F439" s="1">
        <f t="shared" si="2"/>
        <v>-175</v>
      </c>
      <c r="G439" s="1">
        <f t="shared" si="3"/>
        <v>175</v>
      </c>
      <c r="H439" s="6">
        <f t="shared" si="4"/>
        <v>0.0970604548</v>
      </c>
      <c r="I439" s="6">
        <f t="shared" si="5"/>
        <v>0.9029395452</v>
      </c>
      <c r="J439" s="1">
        <f t="shared" si="6"/>
        <v>-175</v>
      </c>
      <c r="K439" s="1" t="str">
        <f t="shared" si="7"/>
        <v>Under Forecast</v>
      </c>
      <c r="L439" s="1">
        <f>F439+J438</f>
        <v>-218</v>
      </c>
      <c r="M439" s="7">
        <f t="shared" si="10"/>
        <v>84.07077626</v>
      </c>
      <c r="N439" s="7">
        <f t="shared" si="8"/>
        <v>-2.593053255</v>
      </c>
      <c r="O439" s="2" t="str">
        <f t="shared" si="9"/>
        <v>Acceptable</v>
      </c>
    </row>
    <row r="440" ht="15.75" customHeight="1">
      <c r="A440" s="1" t="s">
        <v>64</v>
      </c>
      <c r="B440" s="1" t="s">
        <v>16</v>
      </c>
      <c r="C440" s="1" t="s">
        <v>23</v>
      </c>
      <c r="D440" s="1">
        <v>1600.0</v>
      </c>
      <c r="E440" s="1">
        <v>1427.0</v>
      </c>
      <c r="F440" s="1">
        <f t="shared" si="2"/>
        <v>-173</v>
      </c>
      <c r="G440" s="1">
        <f t="shared" si="3"/>
        <v>173</v>
      </c>
      <c r="H440" s="6">
        <f t="shared" si="4"/>
        <v>0.108125</v>
      </c>
      <c r="I440" s="6">
        <f t="shared" si="5"/>
        <v>0.891875</v>
      </c>
      <c r="J440" s="1">
        <f t="shared" si="6"/>
        <v>-173</v>
      </c>
      <c r="K440" s="1" t="str">
        <f t="shared" si="7"/>
        <v>Under Forecast</v>
      </c>
      <c r="L440" s="1">
        <f>F440</f>
        <v>-173</v>
      </c>
      <c r="M440" s="7">
        <f t="shared" si="10"/>
        <v>84.27334852</v>
      </c>
      <c r="N440" s="7">
        <f t="shared" si="8"/>
        <v>-2.052843551</v>
      </c>
      <c r="O440" s="2" t="str">
        <f t="shared" si="9"/>
        <v>Acceptable</v>
      </c>
    </row>
    <row r="441" ht="15.75" customHeight="1">
      <c r="A441" s="1" t="s">
        <v>64</v>
      </c>
      <c r="B441" s="1" t="s">
        <v>16</v>
      </c>
      <c r="C441" s="1" t="s">
        <v>24</v>
      </c>
      <c r="D441" s="1">
        <v>1901.0</v>
      </c>
      <c r="E441" s="1">
        <v>1919.0</v>
      </c>
      <c r="F441" s="1">
        <f t="shared" si="2"/>
        <v>18</v>
      </c>
      <c r="G441" s="1">
        <f t="shared" si="3"/>
        <v>18</v>
      </c>
      <c r="H441" s="6">
        <f t="shared" si="4"/>
        <v>0.009468700684</v>
      </c>
      <c r="I441" s="6">
        <f t="shared" si="5"/>
        <v>0.9905312993</v>
      </c>
      <c r="J441" s="1">
        <f t="shared" si="6"/>
        <v>18</v>
      </c>
      <c r="K441" s="1" t="str">
        <f t="shared" si="7"/>
        <v>Over Forecast</v>
      </c>
      <c r="L441" s="1">
        <f>F441+J440</f>
        <v>-155</v>
      </c>
      <c r="M441" s="7">
        <f t="shared" si="10"/>
        <v>84.12272727</v>
      </c>
      <c r="N441" s="7">
        <f t="shared" si="8"/>
        <v>-1.842546064</v>
      </c>
      <c r="O441" s="2" t="str">
        <f t="shared" si="9"/>
        <v>Acceptable</v>
      </c>
    </row>
    <row r="442" ht="15.75" customHeight="1">
      <c r="A442" s="1" t="s">
        <v>64</v>
      </c>
      <c r="B442" s="1" t="s">
        <v>16</v>
      </c>
      <c r="C442" s="1" t="s">
        <v>25</v>
      </c>
      <c r="D442" s="1">
        <v>1744.0</v>
      </c>
      <c r="E442" s="1">
        <v>1684.0</v>
      </c>
      <c r="F442" s="1">
        <f t="shared" si="2"/>
        <v>-60</v>
      </c>
      <c r="G442" s="1">
        <f t="shared" si="3"/>
        <v>60</v>
      </c>
      <c r="H442" s="6">
        <f t="shared" si="4"/>
        <v>0.03440366972</v>
      </c>
      <c r="I442" s="6">
        <f t="shared" si="5"/>
        <v>0.9655963303</v>
      </c>
      <c r="J442" s="1">
        <f t="shared" si="6"/>
        <v>-60</v>
      </c>
      <c r="K442" s="1" t="str">
        <f t="shared" si="7"/>
        <v>Under Forecast</v>
      </c>
      <c r="L442" s="1">
        <f>F442</f>
        <v>-60</v>
      </c>
      <c r="M442" s="7">
        <f t="shared" si="10"/>
        <v>84.06802721</v>
      </c>
      <c r="N442" s="7">
        <f t="shared" si="8"/>
        <v>-0.7137077197</v>
      </c>
      <c r="O442" s="2" t="str">
        <f t="shared" si="9"/>
        <v>Acceptable</v>
      </c>
    </row>
    <row r="443" ht="15.75" customHeight="1">
      <c r="A443" s="1" t="s">
        <v>64</v>
      </c>
      <c r="B443" s="1" t="s">
        <v>16</v>
      </c>
      <c r="C443" s="1" t="s">
        <v>26</v>
      </c>
      <c r="D443" s="1">
        <v>1784.0</v>
      </c>
      <c r="E443" s="1">
        <v>1602.0</v>
      </c>
      <c r="F443" s="1">
        <f t="shared" si="2"/>
        <v>-182</v>
      </c>
      <c r="G443" s="1">
        <f t="shared" si="3"/>
        <v>182</v>
      </c>
      <c r="H443" s="6">
        <f t="shared" si="4"/>
        <v>0.1020179372</v>
      </c>
      <c r="I443" s="6">
        <f t="shared" si="5"/>
        <v>0.8979820628</v>
      </c>
      <c r="J443" s="1">
        <f t="shared" si="6"/>
        <v>-182</v>
      </c>
      <c r="K443" s="1" t="str">
        <f t="shared" si="7"/>
        <v>Under Forecast</v>
      </c>
      <c r="L443" s="1">
        <f>F443+J442</f>
        <v>-242</v>
      </c>
      <c r="M443" s="7">
        <f t="shared" si="10"/>
        <v>84.28959276</v>
      </c>
      <c r="N443" s="7">
        <f t="shared" si="8"/>
        <v>-2.871054327</v>
      </c>
      <c r="O443" s="2" t="str">
        <f t="shared" si="9"/>
        <v>Acceptable</v>
      </c>
    </row>
    <row r="444" ht="15.75" customHeight="1">
      <c r="A444" s="1" t="s">
        <v>64</v>
      </c>
      <c r="B444" s="1" t="s">
        <v>16</v>
      </c>
      <c r="C444" s="1" t="s">
        <v>27</v>
      </c>
      <c r="D444" s="1">
        <v>1886.0</v>
      </c>
      <c r="E444" s="1">
        <v>1767.0</v>
      </c>
      <c r="F444" s="1">
        <f t="shared" si="2"/>
        <v>-119</v>
      </c>
      <c r="G444" s="1">
        <f t="shared" si="3"/>
        <v>119</v>
      </c>
      <c r="H444" s="6">
        <f t="shared" si="4"/>
        <v>0.06309650053</v>
      </c>
      <c r="I444" s="6">
        <f t="shared" si="5"/>
        <v>0.9369034995</v>
      </c>
      <c r="J444" s="1">
        <f t="shared" si="6"/>
        <v>-119</v>
      </c>
      <c r="K444" s="1" t="str">
        <f t="shared" si="7"/>
        <v>Under Forecast</v>
      </c>
      <c r="L444" s="1">
        <f>F444</f>
        <v>-119</v>
      </c>
      <c r="M444" s="7">
        <f t="shared" si="10"/>
        <v>84.36794582</v>
      </c>
      <c r="N444" s="7">
        <f t="shared" si="8"/>
        <v>-1.410488294</v>
      </c>
      <c r="O444" s="2" t="str">
        <f t="shared" si="9"/>
        <v>Acceptable</v>
      </c>
    </row>
    <row r="445" ht="15.75" customHeight="1">
      <c r="A445" s="1" t="s">
        <v>64</v>
      </c>
      <c r="B445" s="1" t="s">
        <v>16</v>
      </c>
      <c r="C445" s="1" t="s">
        <v>28</v>
      </c>
      <c r="D445" s="1">
        <v>1698.0</v>
      </c>
      <c r="E445" s="1">
        <v>1618.0</v>
      </c>
      <c r="F445" s="1">
        <f t="shared" si="2"/>
        <v>-80</v>
      </c>
      <c r="G445" s="1">
        <f t="shared" si="3"/>
        <v>80</v>
      </c>
      <c r="H445" s="6">
        <f t="shared" si="4"/>
        <v>0.04711425206</v>
      </c>
      <c r="I445" s="6">
        <f t="shared" si="5"/>
        <v>0.9528857479</v>
      </c>
      <c r="J445" s="1">
        <f t="shared" si="6"/>
        <v>-80</v>
      </c>
      <c r="K445" s="1" t="str">
        <f t="shared" si="7"/>
        <v>Under Forecast</v>
      </c>
      <c r="L445" s="1">
        <f>F445+J444</f>
        <v>-199</v>
      </c>
      <c r="M445" s="7">
        <f t="shared" si="10"/>
        <v>84.35810811</v>
      </c>
      <c r="N445" s="7">
        <f t="shared" si="8"/>
        <v>-2.358990789</v>
      </c>
      <c r="O445" s="2" t="str">
        <f t="shared" si="9"/>
        <v>Acceptable</v>
      </c>
    </row>
    <row r="446" ht="15.75" customHeight="1">
      <c r="A446" s="1" t="s">
        <v>65</v>
      </c>
      <c r="B446" s="1" t="s">
        <v>16</v>
      </c>
      <c r="C446" s="1" t="s">
        <v>17</v>
      </c>
      <c r="D446" s="1">
        <v>921.0</v>
      </c>
      <c r="E446" s="1">
        <v>887.0</v>
      </c>
      <c r="F446" s="1">
        <f t="shared" si="2"/>
        <v>-34</v>
      </c>
      <c r="G446" s="1">
        <f t="shared" si="3"/>
        <v>34</v>
      </c>
      <c r="H446" s="6">
        <f t="shared" si="4"/>
        <v>0.03691639522</v>
      </c>
      <c r="I446" s="6">
        <f t="shared" si="5"/>
        <v>0.9630836048</v>
      </c>
      <c r="J446" s="1">
        <f t="shared" si="6"/>
        <v>-34</v>
      </c>
      <c r="K446" s="1" t="str">
        <f t="shared" si="7"/>
        <v>Under Forecast</v>
      </c>
      <c r="L446" s="1">
        <f>F446</f>
        <v>-34</v>
      </c>
      <c r="M446" s="7">
        <f t="shared" si="10"/>
        <v>84.24494382</v>
      </c>
      <c r="N446" s="7">
        <f t="shared" si="8"/>
        <v>-0.4035850516</v>
      </c>
      <c r="O446" s="2" t="str">
        <f t="shared" si="9"/>
        <v>Acceptable</v>
      </c>
    </row>
    <row r="447" ht="15.75" customHeight="1">
      <c r="A447" s="1" t="s">
        <v>65</v>
      </c>
      <c r="B447" s="1" t="s">
        <v>16</v>
      </c>
      <c r="C447" s="1" t="s">
        <v>18</v>
      </c>
      <c r="D447" s="1">
        <v>922.0</v>
      </c>
      <c r="E447" s="1">
        <v>912.0</v>
      </c>
      <c r="F447" s="1">
        <f t="shared" si="2"/>
        <v>-10</v>
      </c>
      <c r="G447" s="1">
        <f t="shared" si="3"/>
        <v>10</v>
      </c>
      <c r="H447" s="6">
        <f t="shared" si="4"/>
        <v>0.01084598698</v>
      </c>
      <c r="I447" s="6">
        <f t="shared" si="5"/>
        <v>0.989154013</v>
      </c>
      <c r="J447" s="1">
        <f t="shared" si="6"/>
        <v>-10</v>
      </c>
      <c r="K447" s="1" t="str">
        <f t="shared" si="7"/>
        <v>Under Forecast</v>
      </c>
      <c r="L447" s="1">
        <f>F447+J446</f>
        <v>-44</v>
      </c>
      <c r="M447" s="7">
        <f t="shared" si="10"/>
        <v>84.07847534</v>
      </c>
      <c r="N447" s="7">
        <f t="shared" si="8"/>
        <v>-0.5233206219</v>
      </c>
      <c r="O447" s="2" t="str">
        <f t="shared" si="9"/>
        <v>Acceptable</v>
      </c>
    </row>
    <row r="448" ht="15.75" customHeight="1">
      <c r="A448" s="1" t="s">
        <v>65</v>
      </c>
      <c r="B448" s="1" t="s">
        <v>16</v>
      </c>
      <c r="C448" s="1" t="s">
        <v>19</v>
      </c>
      <c r="D448" s="1">
        <v>917.0</v>
      </c>
      <c r="E448" s="1">
        <v>913.0</v>
      </c>
      <c r="F448" s="1">
        <f t="shared" si="2"/>
        <v>-4</v>
      </c>
      <c r="G448" s="1">
        <f t="shared" si="3"/>
        <v>4</v>
      </c>
      <c r="H448" s="6">
        <f t="shared" si="4"/>
        <v>0.004362050164</v>
      </c>
      <c r="I448" s="6">
        <f t="shared" si="5"/>
        <v>0.9956379498</v>
      </c>
      <c r="J448" s="1">
        <f t="shared" si="6"/>
        <v>-4</v>
      </c>
      <c r="K448" s="1" t="str">
        <f t="shared" si="7"/>
        <v>Under Forecast</v>
      </c>
      <c r="L448" s="1">
        <f>F448</f>
        <v>-4</v>
      </c>
      <c r="M448" s="7">
        <f t="shared" si="10"/>
        <v>83.89932886</v>
      </c>
      <c r="N448" s="7">
        <f t="shared" si="8"/>
        <v>-0.04767618591</v>
      </c>
      <c r="O448" s="2" t="str">
        <f t="shared" si="9"/>
        <v>Acceptable</v>
      </c>
    </row>
    <row r="449" ht="15.75" customHeight="1">
      <c r="A449" s="1" t="s">
        <v>65</v>
      </c>
      <c r="B449" s="1" t="s">
        <v>16</v>
      </c>
      <c r="C449" s="1" t="s">
        <v>20</v>
      </c>
      <c r="D449" s="1">
        <v>934.0</v>
      </c>
      <c r="E449" s="1">
        <v>994.0</v>
      </c>
      <c r="F449" s="1">
        <f t="shared" si="2"/>
        <v>60</v>
      </c>
      <c r="G449" s="1">
        <f t="shared" si="3"/>
        <v>60</v>
      </c>
      <c r="H449" s="6">
        <f t="shared" si="4"/>
        <v>0.06423982869</v>
      </c>
      <c r="I449" s="6">
        <f t="shared" si="5"/>
        <v>0.9357601713</v>
      </c>
      <c r="J449" s="1">
        <f t="shared" si="6"/>
        <v>60</v>
      </c>
      <c r="K449" s="1" t="str">
        <f t="shared" si="7"/>
        <v>Over Forecast</v>
      </c>
      <c r="L449" s="1">
        <f>F449+J448</f>
        <v>56</v>
      </c>
      <c r="M449" s="7">
        <f t="shared" si="10"/>
        <v>83.84598214</v>
      </c>
      <c r="N449" s="7">
        <f t="shared" si="8"/>
        <v>0.667891276</v>
      </c>
      <c r="O449" s="2" t="str">
        <f t="shared" si="9"/>
        <v>Acceptable</v>
      </c>
    </row>
    <row r="450" ht="15.75" customHeight="1">
      <c r="A450" s="1" t="s">
        <v>65</v>
      </c>
      <c r="B450" s="1" t="s">
        <v>16</v>
      </c>
      <c r="C450" s="1" t="s">
        <v>21</v>
      </c>
      <c r="D450" s="1">
        <v>946.0</v>
      </c>
      <c r="E450" s="1">
        <v>984.0</v>
      </c>
      <c r="F450" s="1">
        <f t="shared" si="2"/>
        <v>38</v>
      </c>
      <c r="G450" s="1">
        <f t="shared" si="3"/>
        <v>38</v>
      </c>
      <c r="H450" s="6">
        <f t="shared" si="4"/>
        <v>0.04016913319</v>
      </c>
      <c r="I450" s="6">
        <f t="shared" si="5"/>
        <v>0.9598308668</v>
      </c>
      <c r="J450" s="1">
        <f t="shared" si="6"/>
        <v>38</v>
      </c>
      <c r="K450" s="1" t="str">
        <f t="shared" si="7"/>
        <v>Over Forecast</v>
      </c>
      <c r="L450" s="1">
        <f>F450</f>
        <v>38</v>
      </c>
      <c r="M450" s="7">
        <f t="shared" si="10"/>
        <v>83.74387528</v>
      </c>
      <c r="N450" s="7">
        <f t="shared" si="8"/>
        <v>0.4537645275</v>
      </c>
      <c r="O450" s="2" t="str">
        <f t="shared" si="9"/>
        <v>Acceptable</v>
      </c>
    </row>
    <row r="451" ht="15.75" customHeight="1">
      <c r="A451" s="1" t="s">
        <v>65</v>
      </c>
      <c r="B451" s="1" t="s">
        <v>16</v>
      </c>
      <c r="C451" s="1" t="s">
        <v>22</v>
      </c>
      <c r="D451" s="1">
        <v>996.0</v>
      </c>
      <c r="E451" s="1">
        <v>1051.0</v>
      </c>
      <c r="F451" s="1">
        <f t="shared" si="2"/>
        <v>55</v>
      </c>
      <c r="G451" s="1">
        <f t="shared" si="3"/>
        <v>55</v>
      </c>
      <c r="H451" s="6">
        <f t="shared" si="4"/>
        <v>0.05522088353</v>
      </c>
      <c r="I451" s="6">
        <f t="shared" si="5"/>
        <v>0.9447791165</v>
      </c>
      <c r="J451" s="1">
        <f t="shared" si="6"/>
        <v>55</v>
      </c>
      <c r="K451" s="1" t="str">
        <f t="shared" si="7"/>
        <v>Over Forecast</v>
      </c>
      <c r="L451" s="1">
        <f>F451+J450</f>
        <v>93</v>
      </c>
      <c r="M451" s="7">
        <f t="shared" si="10"/>
        <v>83.68</v>
      </c>
      <c r="N451" s="7">
        <f t="shared" si="8"/>
        <v>1.111376673</v>
      </c>
      <c r="O451" s="2" t="str">
        <f t="shared" si="9"/>
        <v>Acceptable</v>
      </c>
    </row>
    <row r="452" ht="15.75" customHeight="1">
      <c r="A452" s="1" t="s">
        <v>65</v>
      </c>
      <c r="B452" s="1" t="s">
        <v>16</v>
      </c>
      <c r="C452" s="1" t="s">
        <v>23</v>
      </c>
      <c r="D452" s="1">
        <v>1105.0</v>
      </c>
      <c r="E452" s="1">
        <v>1179.0</v>
      </c>
      <c r="F452" s="1">
        <f t="shared" si="2"/>
        <v>74</v>
      </c>
      <c r="G452" s="1">
        <f t="shared" si="3"/>
        <v>74</v>
      </c>
      <c r="H452" s="6">
        <f t="shared" si="4"/>
        <v>0.06696832579</v>
      </c>
      <c r="I452" s="6">
        <f t="shared" si="5"/>
        <v>0.9330316742</v>
      </c>
      <c r="J452" s="1">
        <f t="shared" si="6"/>
        <v>74</v>
      </c>
      <c r="K452" s="1" t="str">
        <f t="shared" si="7"/>
        <v>Over Forecast</v>
      </c>
      <c r="L452" s="1">
        <f>F452</f>
        <v>74</v>
      </c>
      <c r="M452" s="7">
        <f t="shared" si="10"/>
        <v>83.65853659</v>
      </c>
      <c r="N452" s="7">
        <f t="shared" si="8"/>
        <v>0.884548105</v>
      </c>
      <c r="O452" s="2" t="str">
        <f t="shared" si="9"/>
        <v>Acceptable</v>
      </c>
    </row>
    <row r="453" ht="15.75" customHeight="1">
      <c r="A453" s="1" t="s">
        <v>65</v>
      </c>
      <c r="B453" s="1" t="s">
        <v>16</v>
      </c>
      <c r="C453" s="1" t="s">
        <v>24</v>
      </c>
      <c r="D453" s="1">
        <v>921.0</v>
      </c>
      <c r="E453" s="1">
        <v>879.0</v>
      </c>
      <c r="F453" s="1">
        <f t="shared" si="2"/>
        <v>-42</v>
      </c>
      <c r="G453" s="1">
        <f t="shared" si="3"/>
        <v>42</v>
      </c>
      <c r="H453" s="6">
        <f t="shared" si="4"/>
        <v>0.04560260586</v>
      </c>
      <c r="I453" s="6">
        <f t="shared" si="5"/>
        <v>0.9543973941</v>
      </c>
      <c r="J453" s="1">
        <f t="shared" si="6"/>
        <v>-42</v>
      </c>
      <c r="K453" s="1" t="str">
        <f t="shared" si="7"/>
        <v>Under Forecast</v>
      </c>
      <c r="L453" s="1">
        <f>F453+J452</f>
        <v>32</v>
      </c>
      <c r="M453" s="7">
        <f t="shared" si="10"/>
        <v>83.56637168</v>
      </c>
      <c r="N453" s="7">
        <f t="shared" si="8"/>
        <v>0.3829291539</v>
      </c>
      <c r="O453" s="2" t="str">
        <f t="shared" si="9"/>
        <v>Acceptable</v>
      </c>
    </row>
    <row r="454" ht="15.75" customHeight="1">
      <c r="A454" s="1" t="s">
        <v>65</v>
      </c>
      <c r="B454" s="1" t="s">
        <v>16</v>
      </c>
      <c r="C454" s="1" t="s">
        <v>25</v>
      </c>
      <c r="D454" s="1">
        <v>875.0</v>
      </c>
      <c r="E454" s="1">
        <v>914.0</v>
      </c>
      <c r="F454" s="1">
        <f t="shared" si="2"/>
        <v>39</v>
      </c>
      <c r="G454" s="1">
        <f t="shared" si="3"/>
        <v>39</v>
      </c>
      <c r="H454" s="6">
        <f t="shared" si="4"/>
        <v>0.04457142857</v>
      </c>
      <c r="I454" s="6">
        <f t="shared" si="5"/>
        <v>0.9554285714</v>
      </c>
      <c r="J454" s="1">
        <f t="shared" si="6"/>
        <v>39</v>
      </c>
      <c r="K454" s="1" t="str">
        <f t="shared" si="7"/>
        <v>Over Forecast</v>
      </c>
      <c r="L454" s="1">
        <f>F454</f>
        <v>39</v>
      </c>
      <c r="M454" s="7">
        <f t="shared" si="10"/>
        <v>83.46799117</v>
      </c>
      <c r="N454" s="7">
        <f t="shared" si="8"/>
        <v>0.4672449816</v>
      </c>
      <c r="O454" s="2" t="str">
        <f t="shared" si="9"/>
        <v>Acceptable</v>
      </c>
    </row>
    <row r="455" ht="15.75" customHeight="1">
      <c r="A455" s="1" t="s">
        <v>65</v>
      </c>
      <c r="B455" s="1" t="s">
        <v>16</v>
      </c>
      <c r="C455" s="1" t="s">
        <v>26</v>
      </c>
      <c r="D455" s="1">
        <v>817.0</v>
      </c>
      <c r="E455" s="1">
        <v>841.0</v>
      </c>
      <c r="F455" s="1">
        <f t="shared" si="2"/>
        <v>24</v>
      </c>
      <c r="G455" s="1">
        <f t="shared" si="3"/>
        <v>24</v>
      </c>
      <c r="H455" s="6">
        <f t="shared" si="4"/>
        <v>0.02937576499</v>
      </c>
      <c r="I455" s="6">
        <f t="shared" si="5"/>
        <v>0.970624235</v>
      </c>
      <c r="J455" s="1">
        <f t="shared" si="6"/>
        <v>24</v>
      </c>
      <c r="K455" s="1" t="str">
        <f t="shared" si="7"/>
        <v>Over Forecast</v>
      </c>
      <c r="L455" s="1">
        <f>F455+J454</f>
        <v>63</v>
      </c>
      <c r="M455" s="7">
        <f t="shared" si="10"/>
        <v>83.33700441</v>
      </c>
      <c r="N455" s="7">
        <f t="shared" si="8"/>
        <v>0.7559666975</v>
      </c>
      <c r="O455" s="2" t="str">
        <f t="shared" si="9"/>
        <v>Acceptable</v>
      </c>
    </row>
    <row r="456" ht="15.75" customHeight="1">
      <c r="A456" s="1" t="s">
        <v>65</v>
      </c>
      <c r="B456" s="1" t="s">
        <v>16</v>
      </c>
      <c r="C456" s="1" t="s">
        <v>27</v>
      </c>
      <c r="D456" s="1">
        <v>894.0</v>
      </c>
      <c r="E456" s="1">
        <v>897.0</v>
      </c>
      <c r="F456" s="1">
        <f t="shared" si="2"/>
        <v>3</v>
      </c>
      <c r="G456" s="1">
        <f t="shared" si="3"/>
        <v>3</v>
      </c>
      <c r="H456" s="6">
        <f t="shared" si="4"/>
        <v>0.003355704698</v>
      </c>
      <c r="I456" s="6">
        <f t="shared" si="5"/>
        <v>0.9966442953</v>
      </c>
      <c r="J456" s="1">
        <f t="shared" si="6"/>
        <v>3</v>
      </c>
      <c r="K456" s="1" t="str">
        <f t="shared" si="7"/>
        <v>Over Forecast</v>
      </c>
      <c r="L456" s="1">
        <f>F456</f>
        <v>3</v>
      </c>
      <c r="M456" s="7">
        <f t="shared" si="10"/>
        <v>83.16043956</v>
      </c>
      <c r="N456" s="7">
        <f t="shared" si="8"/>
        <v>0.03607484539</v>
      </c>
      <c r="O456" s="2" t="str">
        <f t="shared" si="9"/>
        <v>Acceptable</v>
      </c>
    </row>
    <row r="457" ht="15.75" customHeight="1">
      <c r="A457" s="1" t="s">
        <v>65</v>
      </c>
      <c r="B457" s="1" t="s">
        <v>16</v>
      </c>
      <c r="C457" s="1" t="s">
        <v>28</v>
      </c>
      <c r="D457" s="1">
        <v>893.0</v>
      </c>
      <c r="E457" s="1">
        <v>863.0</v>
      </c>
      <c r="F457" s="1">
        <f t="shared" si="2"/>
        <v>-30</v>
      </c>
      <c r="G457" s="1">
        <f t="shared" si="3"/>
        <v>30</v>
      </c>
      <c r="H457" s="6">
        <f t="shared" si="4"/>
        <v>0.03359462486</v>
      </c>
      <c r="I457" s="6">
        <f t="shared" si="5"/>
        <v>0.9664053751</v>
      </c>
      <c r="J457" s="1">
        <f t="shared" si="6"/>
        <v>-30</v>
      </c>
      <c r="K457" s="1" t="str">
        <f t="shared" si="7"/>
        <v>Under Forecast</v>
      </c>
      <c r="L457" s="1">
        <f>F457+J456</f>
        <v>-27</v>
      </c>
      <c r="M457" s="7">
        <f t="shared" si="10"/>
        <v>83.04385965</v>
      </c>
      <c r="N457" s="7">
        <f t="shared" si="8"/>
        <v>-0.3251293969</v>
      </c>
      <c r="O457" s="2" t="str">
        <f t="shared" si="9"/>
        <v>Acceptable</v>
      </c>
    </row>
    <row r="458" ht="15.75" customHeight="1">
      <c r="A458" s="1" t="s">
        <v>66</v>
      </c>
      <c r="B458" s="1" t="s">
        <v>16</v>
      </c>
      <c r="C458" s="1" t="s">
        <v>17</v>
      </c>
      <c r="D458" s="1">
        <v>1417.0</v>
      </c>
      <c r="E458" s="1">
        <v>1392.0</v>
      </c>
      <c r="F458" s="1">
        <f t="shared" si="2"/>
        <v>-25</v>
      </c>
      <c r="G458" s="1">
        <f t="shared" si="3"/>
        <v>25</v>
      </c>
      <c r="H458" s="6">
        <f t="shared" si="4"/>
        <v>0.01764290755</v>
      </c>
      <c r="I458" s="6">
        <f t="shared" si="5"/>
        <v>0.9823570924</v>
      </c>
      <c r="J458" s="1">
        <f t="shared" si="6"/>
        <v>-25</v>
      </c>
      <c r="K458" s="1" t="str">
        <f t="shared" si="7"/>
        <v>Under Forecast</v>
      </c>
      <c r="L458" s="1">
        <f>F458</f>
        <v>-25</v>
      </c>
      <c r="M458" s="7">
        <f t="shared" si="10"/>
        <v>82.91684902</v>
      </c>
      <c r="N458" s="7">
        <f t="shared" si="8"/>
        <v>-0.3015068746</v>
      </c>
      <c r="O458" s="2" t="str">
        <f t="shared" si="9"/>
        <v>Acceptable</v>
      </c>
    </row>
    <row r="459" ht="15.75" customHeight="1">
      <c r="A459" s="1" t="s">
        <v>66</v>
      </c>
      <c r="B459" s="1" t="s">
        <v>16</v>
      </c>
      <c r="C459" s="1" t="s">
        <v>18</v>
      </c>
      <c r="D459" s="1">
        <v>1523.0</v>
      </c>
      <c r="E459" s="1">
        <v>1437.0</v>
      </c>
      <c r="F459" s="1">
        <f t="shared" si="2"/>
        <v>-86</v>
      </c>
      <c r="G459" s="1">
        <f t="shared" si="3"/>
        <v>86</v>
      </c>
      <c r="H459" s="6">
        <f t="shared" si="4"/>
        <v>0.05646749836</v>
      </c>
      <c r="I459" s="6">
        <f t="shared" si="5"/>
        <v>0.9435325016</v>
      </c>
      <c r="J459" s="1">
        <f t="shared" si="6"/>
        <v>-86</v>
      </c>
      <c r="K459" s="1" t="str">
        <f t="shared" si="7"/>
        <v>Under Forecast</v>
      </c>
      <c r="L459" s="1">
        <f>F459+J458</f>
        <v>-111</v>
      </c>
      <c r="M459" s="7">
        <f t="shared" si="10"/>
        <v>82.92358079</v>
      </c>
      <c r="N459" s="7">
        <f t="shared" si="8"/>
        <v>-1.338581848</v>
      </c>
      <c r="O459" s="2" t="str">
        <f t="shared" si="9"/>
        <v>Acceptable</v>
      </c>
    </row>
    <row r="460" ht="15.75" customHeight="1">
      <c r="A460" s="1" t="s">
        <v>66</v>
      </c>
      <c r="B460" s="1" t="s">
        <v>16</v>
      </c>
      <c r="C460" s="1" t="s">
        <v>19</v>
      </c>
      <c r="D460" s="1">
        <v>1428.0</v>
      </c>
      <c r="E460" s="1">
        <v>1260.0</v>
      </c>
      <c r="F460" s="1">
        <f t="shared" si="2"/>
        <v>-168</v>
      </c>
      <c r="G460" s="1">
        <f t="shared" si="3"/>
        <v>168</v>
      </c>
      <c r="H460" s="6">
        <f t="shared" si="4"/>
        <v>0.1176470588</v>
      </c>
      <c r="I460" s="6">
        <f t="shared" si="5"/>
        <v>0.8823529412</v>
      </c>
      <c r="J460" s="1">
        <f t="shared" si="6"/>
        <v>-168</v>
      </c>
      <c r="K460" s="1" t="str">
        <f t="shared" si="7"/>
        <v>Under Forecast</v>
      </c>
      <c r="L460" s="1">
        <f>F460</f>
        <v>-168</v>
      </c>
      <c r="M460" s="7">
        <f t="shared" si="10"/>
        <v>83.10893246</v>
      </c>
      <c r="N460" s="7">
        <f t="shared" si="8"/>
        <v>-2.021443364</v>
      </c>
      <c r="O460" s="2" t="str">
        <f t="shared" si="9"/>
        <v>Acceptable</v>
      </c>
    </row>
    <row r="461" ht="15.75" customHeight="1">
      <c r="A461" s="1" t="s">
        <v>66</v>
      </c>
      <c r="B461" s="1" t="s">
        <v>16</v>
      </c>
      <c r="C461" s="1" t="s">
        <v>20</v>
      </c>
      <c r="D461" s="1">
        <v>1452.0</v>
      </c>
      <c r="E461" s="1">
        <v>1488.0</v>
      </c>
      <c r="F461" s="1">
        <f t="shared" si="2"/>
        <v>36</v>
      </c>
      <c r="G461" s="1">
        <f t="shared" si="3"/>
        <v>36</v>
      </c>
      <c r="H461" s="6">
        <f t="shared" si="4"/>
        <v>0.02479338843</v>
      </c>
      <c r="I461" s="6">
        <f t="shared" si="5"/>
        <v>0.9752066116</v>
      </c>
      <c r="J461" s="1">
        <f t="shared" si="6"/>
        <v>36</v>
      </c>
      <c r="K461" s="1" t="str">
        <f t="shared" si="7"/>
        <v>Over Forecast</v>
      </c>
      <c r="L461" s="1">
        <f>F461+J460</f>
        <v>-132</v>
      </c>
      <c r="M461" s="7">
        <f t="shared" si="10"/>
        <v>83.00652174</v>
      </c>
      <c r="N461" s="7">
        <f t="shared" si="8"/>
        <v>-1.590236493</v>
      </c>
      <c r="O461" s="2" t="str">
        <f t="shared" si="9"/>
        <v>Acceptable</v>
      </c>
    </row>
    <row r="462" ht="15.75" customHeight="1">
      <c r="A462" s="1" t="s">
        <v>66</v>
      </c>
      <c r="B462" s="1" t="s">
        <v>16</v>
      </c>
      <c r="C462" s="1" t="s">
        <v>21</v>
      </c>
      <c r="D462" s="1">
        <v>1501.0</v>
      </c>
      <c r="E462" s="1">
        <v>1330.0</v>
      </c>
      <c r="F462" s="1">
        <f t="shared" si="2"/>
        <v>-171</v>
      </c>
      <c r="G462" s="1">
        <f t="shared" si="3"/>
        <v>171</v>
      </c>
      <c r="H462" s="6">
        <f t="shared" si="4"/>
        <v>0.1139240506</v>
      </c>
      <c r="I462" s="6">
        <f t="shared" si="5"/>
        <v>0.8860759494</v>
      </c>
      <c r="J462" s="1">
        <f t="shared" si="6"/>
        <v>-171</v>
      </c>
      <c r="K462" s="1" t="str">
        <f t="shared" si="7"/>
        <v>Under Forecast</v>
      </c>
      <c r="L462" s="1">
        <f>F462</f>
        <v>-171</v>
      </c>
      <c r="M462" s="7">
        <f t="shared" si="10"/>
        <v>83.19739696</v>
      </c>
      <c r="N462" s="7">
        <f t="shared" si="8"/>
        <v>-2.055352766</v>
      </c>
      <c r="O462" s="2" t="str">
        <f t="shared" si="9"/>
        <v>Acceptable</v>
      </c>
    </row>
    <row r="463" ht="15.75" customHeight="1">
      <c r="A463" s="1" t="s">
        <v>66</v>
      </c>
      <c r="B463" s="1" t="s">
        <v>16</v>
      </c>
      <c r="C463" s="1" t="s">
        <v>22</v>
      </c>
      <c r="D463" s="1">
        <v>1640.0</v>
      </c>
      <c r="E463" s="1">
        <v>1638.0</v>
      </c>
      <c r="F463" s="1">
        <f t="shared" si="2"/>
        <v>-2</v>
      </c>
      <c r="G463" s="1">
        <f t="shared" si="3"/>
        <v>2</v>
      </c>
      <c r="H463" s="6">
        <f t="shared" si="4"/>
        <v>0.001219512195</v>
      </c>
      <c r="I463" s="6">
        <f t="shared" si="5"/>
        <v>0.9987804878</v>
      </c>
      <c r="J463" s="1">
        <f t="shared" si="6"/>
        <v>-2</v>
      </c>
      <c r="K463" s="1" t="str">
        <f t="shared" si="7"/>
        <v>Under Forecast</v>
      </c>
      <c r="L463" s="1">
        <f>F463+J462</f>
        <v>-173</v>
      </c>
      <c r="M463" s="7">
        <f t="shared" si="10"/>
        <v>83.02164502</v>
      </c>
      <c r="N463" s="7">
        <f t="shared" si="8"/>
        <v>-2.083793931</v>
      </c>
      <c r="O463" s="2" t="str">
        <f t="shared" si="9"/>
        <v>Acceptable</v>
      </c>
    </row>
    <row r="464" ht="15.75" customHeight="1">
      <c r="A464" s="1" t="s">
        <v>66</v>
      </c>
      <c r="B464" s="1" t="s">
        <v>16</v>
      </c>
      <c r="C464" s="1" t="s">
        <v>23</v>
      </c>
      <c r="D464" s="1">
        <v>1903.0</v>
      </c>
      <c r="E464" s="1">
        <v>1896.0</v>
      </c>
      <c r="F464" s="1">
        <f t="shared" si="2"/>
        <v>-7</v>
      </c>
      <c r="G464" s="1">
        <f t="shared" si="3"/>
        <v>7</v>
      </c>
      <c r="H464" s="6">
        <f t="shared" si="4"/>
        <v>0.003678402522</v>
      </c>
      <c r="I464" s="6">
        <f t="shared" si="5"/>
        <v>0.9963215975</v>
      </c>
      <c r="J464" s="1">
        <f t="shared" si="6"/>
        <v>-7</v>
      </c>
      <c r="K464" s="1" t="str">
        <f t="shared" si="7"/>
        <v>Under Forecast</v>
      </c>
      <c r="L464" s="1">
        <f>F464</f>
        <v>-7</v>
      </c>
      <c r="M464" s="7">
        <f t="shared" si="10"/>
        <v>82.8574514</v>
      </c>
      <c r="N464" s="7">
        <f t="shared" si="8"/>
        <v>-0.08448244402</v>
      </c>
      <c r="O464" s="2" t="str">
        <f t="shared" si="9"/>
        <v>Acceptable</v>
      </c>
    </row>
    <row r="465" ht="15.75" customHeight="1">
      <c r="A465" s="1" t="s">
        <v>66</v>
      </c>
      <c r="B465" s="1" t="s">
        <v>16</v>
      </c>
      <c r="C465" s="1" t="s">
        <v>24</v>
      </c>
      <c r="D465" s="1">
        <v>1751.0</v>
      </c>
      <c r="E465" s="1">
        <v>1669.0</v>
      </c>
      <c r="F465" s="1">
        <f t="shared" si="2"/>
        <v>-82</v>
      </c>
      <c r="G465" s="1">
        <f t="shared" si="3"/>
        <v>82</v>
      </c>
      <c r="H465" s="6">
        <f t="shared" si="4"/>
        <v>0.04683038264</v>
      </c>
      <c r="I465" s="6">
        <f t="shared" si="5"/>
        <v>0.9531696174</v>
      </c>
      <c r="J465" s="1">
        <f t="shared" si="6"/>
        <v>-82</v>
      </c>
      <c r="K465" s="1" t="str">
        <f t="shared" si="7"/>
        <v>Under Forecast</v>
      </c>
      <c r="L465" s="1">
        <f>F465+J464</f>
        <v>-89</v>
      </c>
      <c r="M465" s="7">
        <f t="shared" si="10"/>
        <v>82.85560345</v>
      </c>
      <c r="N465" s="7">
        <f t="shared" si="8"/>
        <v>-1.074157888</v>
      </c>
      <c r="O465" s="2" t="str">
        <f t="shared" si="9"/>
        <v>Acceptable</v>
      </c>
    </row>
    <row r="466" ht="15.75" customHeight="1">
      <c r="A466" s="1" t="s">
        <v>66</v>
      </c>
      <c r="B466" s="1" t="s">
        <v>16</v>
      </c>
      <c r="C466" s="1" t="s">
        <v>25</v>
      </c>
      <c r="D466" s="1">
        <v>1467.0</v>
      </c>
      <c r="E466" s="1">
        <v>1501.0</v>
      </c>
      <c r="F466" s="1">
        <f t="shared" si="2"/>
        <v>34</v>
      </c>
      <c r="G466" s="1">
        <f t="shared" si="3"/>
        <v>34</v>
      </c>
      <c r="H466" s="6">
        <f t="shared" si="4"/>
        <v>0.02317655078</v>
      </c>
      <c r="I466" s="6">
        <f t="shared" si="5"/>
        <v>0.9768234492</v>
      </c>
      <c r="J466" s="1">
        <f t="shared" si="6"/>
        <v>34</v>
      </c>
      <c r="K466" s="1" t="str">
        <f t="shared" si="7"/>
        <v>Over Forecast</v>
      </c>
      <c r="L466" s="1">
        <f>F466</f>
        <v>34</v>
      </c>
      <c r="M466" s="7">
        <f t="shared" si="10"/>
        <v>82.75053763</v>
      </c>
      <c r="N466" s="7">
        <f t="shared" si="8"/>
        <v>0.4108734634</v>
      </c>
      <c r="O466" s="2" t="str">
        <f t="shared" si="9"/>
        <v>Acceptable</v>
      </c>
    </row>
    <row r="467" ht="15.75" customHeight="1">
      <c r="A467" s="1" t="s">
        <v>66</v>
      </c>
      <c r="B467" s="1" t="s">
        <v>16</v>
      </c>
      <c r="C467" s="1" t="s">
        <v>26</v>
      </c>
      <c r="D467" s="1">
        <v>1655.0</v>
      </c>
      <c r="E467" s="1">
        <v>1609.0</v>
      </c>
      <c r="F467" s="1">
        <f t="shared" si="2"/>
        <v>-46</v>
      </c>
      <c r="G467" s="1">
        <f t="shared" si="3"/>
        <v>46</v>
      </c>
      <c r="H467" s="6">
        <f t="shared" si="4"/>
        <v>0.02779456193</v>
      </c>
      <c r="I467" s="6">
        <f t="shared" si="5"/>
        <v>0.9722054381</v>
      </c>
      <c r="J467" s="1">
        <f t="shared" si="6"/>
        <v>-46</v>
      </c>
      <c r="K467" s="1" t="str">
        <f t="shared" si="7"/>
        <v>Under Forecast</v>
      </c>
      <c r="L467" s="1">
        <f>F467+J466</f>
        <v>-12</v>
      </c>
      <c r="M467" s="7">
        <f t="shared" si="10"/>
        <v>82.67167382</v>
      </c>
      <c r="N467" s="7">
        <f t="shared" si="8"/>
        <v>-0.1451524984</v>
      </c>
      <c r="O467" s="2" t="str">
        <f t="shared" si="9"/>
        <v>Acceptable</v>
      </c>
    </row>
    <row r="468" ht="15.75" customHeight="1">
      <c r="A468" s="1" t="s">
        <v>66</v>
      </c>
      <c r="B468" s="1" t="s">
        <v>16</v>
      </c>
      <c r="C468" s="1" t="s">
        <v>27</v>
      </c>
      <c r="D468" s="1">
        <v>1629.0</v>
      </c>
      <c r="E468" s="1">
        <v>1605.0</v>
      </c>
      <c r="F468" s="1">
        <f t="shared" si="2"/>
        <v>-24</v>
      </c>
      <c r="G468" s="1">
        <f t="shared" si="3"/>
        <v>24</v>
      </c>
      <c r="H468" s="6">
        <f t="shared" si="4"/>
        <v>0.01473296501</v>
      </c>
      <c r="I468" s="6">
        <f t="shared" si="5"/>
        <v>0.985267035</v>
      </c>
      <c r="J468" s="1">
        <f t="shared" si="6"/>
        <v>-24</v>
      </c>
      <c r="K468" s="1" t="str">
        <f t="shared" si="7"/>
        <v>Under Forecast</v>
      </c>
      <c r="L468" s="1">
        <f>F468</f>
        <v>-24</v>
      </c>
      <c r="M468" s="7">
        <f t="shared" si="10"/>
        <v>82.54603854</v>
      </c>
      <c r="N468" s="7">
        <f t="shared" si="8"/>
        <v>-0.2907468417</v>
      </c>
      <c r="O468" s="2" t="str">
        <f t="shared" si="9"/>
        <v>Acceptable</v>
      </c>
    </row>
    <row r="469" ht="15.75" customHeight="1">
      <c r="A469" s="1" t="s">
        <v>66</v>
      </c>
      <c r="B469" s="1" t="s">
        <v>16</v>
      </c>
      <c r="C469" s="1" t="s">
        <v>28</v>
      </c>
      <c r="D469" s="1">
        <v>1549.0</v>
      </c>
      <c r="E469" s="1">
        <v>1590.0</v>
      </c>
      <c r="F469" s="1">
        <f t="shared" si="2"/>
        <v>41</v>
      </c>
      <c r="G469" s="1">
        <f t="shared" si="3"/>
        <v>41</v>
      </c>
      <c r="H469" s="6">
        <f t="shared" si="4"/>
        <v>0.02646868948</v>
      </c>
      <c r="I469" s="6">
        <f t="shared" si="5"/>
        <v>0.9735313105</v>
      </c>
      <c r="J469" s="1">
        <f t="shared" si="6"/>
        <v>41</v>
      </c>
      <c r="K469" s="1" t="str">
        <f t="shared" si="7"/>
        <v>Over Forecast</v>
      </c>
      <c r="L469" s="1">
        <f>F469+J468</f>
        <v>17</v>
      </c>
      <c r="M469" s="7">
        <f t="shared" si="10"/>
        <v>82.45726496</v>
      </c>
      <c r="N469" s="7">
        <f t="shared" si="8"/>
        <v>0.2061674009</v>
      </c>
      <c r="O469" s="2" t="str">
        <f t="shared" si="9"/>
        <v>Acceptable</v>
      </c>
    </row>
    <row r="470" ht="15.75" customHeight="1">
      <c r="A470" s="1" t="s">
        <v>67</v>
      </c>
      <c r="B470" s="1" t="s">
        <v>16</v>
      </c>
      <c r="C470" s="1" t="s">
        <v>17</v>
      </c>
      <c r="D470" s="1">
        <v>1145.0</v>
      </c>
      <c r="E470" s="1">
        <v>1234.0</v>
      </c>
      <c r="F470" s="1">
        <f t="shared" si="2"/>
        <v>89</v>
      </c>
      <c r="G470" s="1">
        <f t="shared" si="3"/>
        <v>89</v>
      </c>
      <c r="H470" s="6">
        <f t="shared" si="4"/>
        <v>0.07772925764</v>
      </c>
      <c r="I470" s="6">
        <f t="shared" si="5"/>
        <v>0.9222707424</v>
      </c>
      <c r="J470" s="1">
        <f t="shared" si="6"/>
        <v>89</v>
      </c>
      <c r="K470" s="1" t="str">
        <f t="shared" si="7"/>
        <v>Over Forecast</v>
      </c>
      <c r="L470" s="1">
        <f>F470</f>
        <v>89</v>
      </c>
      <c r="M470" s="7">
        <f t="shared" si="10"/>
        <v>82.47121535</v>
      </c>
      <c r="N470" s="7">
        <f t="shared" si="8"/>
        <v>1.079164404</v>
      </c>
      <c r="O470" s="2" t="str">
        <f t="shared" si="9"/>
        <v>Acceptable</v>
      </c>
    </row>
    <row r="471" ht="15.75" customHeight="1">
      <c r="A471" s="1" t="s">
        <v>67</v>
      </c>
      <c r="B471" s="1" t="s">
        <v>16</v>
      </c>
      <c r="C471" s="1" t="s">
        <v>18</v>
      </c>
      <c r="D471" s="1">
        <v>1375.0</v>
      </c>
      <c r="E471" s="1">
        <v>1273.0</v>
      </c>
      <c r="F471" s="1">
        <f t="shared" si="2"/>
        <v>-102</v>
      </c>
      <c r="G471" s="1">
        <f t="shared" si="3"/>
        <v>102</v>
      </c>
      <c r="H471" s="6">
        <f t="shared" si="4"/>
        <v>0.07418181818</v>
      </c>
      <c r="I471" s="6">
        <f t="shared" si="5"/>
        <v>0.9258181818</v>
      </c>
      <c r="J471" s="1">
        <f t="shared" si="6"/>
        <v>-102</v>
      </c>
      <c r="K471" s="1" t="str">
        <f t="shared" si="7"/>
        <v>Under Forecast</v>
      </c>
      <c r="L471" s="1">
        <f>F471+J470</f>
        <v>-13</v>
      </c>
      <c r="M471" s="7">
        <f t="shared" si="10"/>
        <v>82.51276596</v>
      </c>
      <c r="N471" s="7">
        <f t="shared" si="8"/>
        <v>-0.1575513783</v>
      </c>
      <c r="O471" s="2" t="str">
        <f t="shared" si="9"/>
        <v>Acceptable</v>
      </c>
    </row>
    <row r="472" ht="15.75" customHeight="1">
      <c r="A472" s="1" t="s">
        <v>67</v>
      </c>
      <c r="B472" s="1" t="s">
        <v>16</v>
      </c>
      <c r="C472" s="1" t="s">
        <v>19</v>
      </c>
      <c r="D472" s="1">
        <v>1382.0</v>
      </c>
      <c r="E472" s="1">
        <v>1476.0</v>
      </c>
      <c r="F472" s="1">
        <f t="shared" si="2"/>
        <v>94</v>
      </c>
      <c r="G472" s="1">
        <f t="shared" si="3"/>
        <v>94</v>
      </c>
      <c r="H472" s="6">
        <f t="shared" si="4"/>
        <v>0.06801736614</v>
      </c>
      <c r="I472" s="6">
        <f t="shared" si="5"/>
        <v>0.9319826339</v>
      </c>
      <c r="J472" s="1">
        <f t="shared" si="6"/>
        <v>94</v>
      </c>
      <c r="K472" s="1" t="str">
        <f t="shared" si="7"/>
        <v>Over Forecast</v>
      </c>
      <c r="L472" s="1">
        <f>F472</f>
        <v>94</v>
      </c>
      <c r="M472" s="7">
        <f t="shared" si="10"/>
        <v>82.53715499</v>
      </c>
      <c r="N472" s="7">
        <f t="shared" si="8"/>
        <v>1.138881029</v>
      </c>
      <c r="O472" s="2" t="str">
        <f t="shared" si="9"/>
        <v>Acceptable</v>
      </c>
    </row>
    <row r="473" ht="15.75" customHeight="1">
      <c r="A473" s="1" t="s">
        <v>67</v>
      </c>
      <c r="B473" s="1" t="s">
        <v>16</v>
      </c>
      <c r="C473" s="1" t="s">
        <v>20</v>
      </c>
      <c r="D473" s="1">
        <v>1291.0</v>
      </c>
      <c r="E473" s="1">
        <v>1305.0</v>
      </c>
      <c r="F473" s="1">
        <f t="shared" si="2"/>
        <v>14</v>
      </c>
      <c r="G473" s="1">
        <f t="shared" si="3"/>
        <v>14</v>
      </c>
      <c r="H473" s="6">
        <f t="shared" si="4"/>
        <v>0.01084430674</v>
      </c>
      <c r="I473" s="6">
        <f t="shared" si="5"/>
        <v>0.9891556933</v>
      </c>
      <c r="J473" s="1">
        <f t="shared" si="6"/>
        <v>14</v>
      </c>
      <c r="K473" s="1" t="str">
        <f t="shared" si="7"/>
        <v>Over Forecast</v>
      </c>
      <c r="L473" s="1">
        <f>F473+J472</f>
        <v>108</v>
      </c>
      <c r="M473" s="7">
        <f t="shared" si="10"/>
        <v>82.39194915</v>
      </c>
      <c r="N473" s="7">
        <f t="shared" si="8"/>
        <v>1.310807683</v>
      </c>
      <c r="O473" s="2" t="str">
        <f t="shared" si="9"/>
        <v>Acceptable</v>
      </c>
    </row>
    <row r="474" ht="15.75" customHeight="1">
      <c r="A474" s="1" t="s">
        <v>67</v>
      </c>
      <c r="B474" s="1" t="s">
        <v>16</v>
      </c>
      <c r="C474" s="1" t="s">
        <v>21</v>
      </c>
      <c r="D474" s="1">
        <v>1551.0</v>
      </c>
      <c r="E474" s="1">
        <v>1435.0</v>
      </c>
      <c r="F474" s="1">
        <f t="shared" si="2"/>
        <v>-116</v>
      </c>
      <c r="G474" s="1">
        <f t="shared" si="3"/>
        <v>116</v>
      </c>
      <c r="H474" s="6">
        <f t="shared" si="4"/>
        <v>0.07479045777</v>
      </c>
      <c r="I474" s="6">
        <f t="shared" si="5"/>
        <v>0.9252095422</v>
      </c>
      <c r="J474" s="1">
        <f t="shared" si="6"/>
        <v>-116</v>
      </c>
      <c r="K474" s="1" t="str">
        <f t="shared" si="7"/>
        <v>Under Forecast</v>
      </c>
      <c r="L474" s="1">
        <f>F474</f>
        <v>-116</v>
      </c>
      <c r="M474" s="7">
        <f t="shared" si="10"/>
        <v>82.46300211</v>
      </c>
      <c r="N474" s="7">
        <f t="shared" si="8"/>
        <v>-1.40669145</v>
      </c>
      <c r="O474" s="2" t="str">
        <f t="shared" si="9"/>
        <v>Acceptable</v>
      </c>
    </row>
    <row r="475" ht="15.75" customHeight="1">
      <c r="A475" s="1" t="s">
        <v>67</v>
      </c>
      <c r="B475" s="1" t="s">
        <v>16</v>
      </c>
      <c r="C475" s="1" t="s">
        <v>22</v>
      </c>
      <c r="D475" s="1">
        <v>1531.0</v>
      </c>
      <c r="E475" s="1">
        <v>1481.0</v>
      </c>
      <c r="F475" s="1">
        <f t="shared" si="2"/>
        <v>-50</v>
      </c>
      <c r="G475" s="1">
        <f t="shared" si="3"/>
        <v>50</v>
      </c>
      <c r="H475" s="6">
        <f t="shared" si="4"/>
        <v>0.03265839321</v>
      </c>
      <c r="I475" s="6">
        <f t="shared" si="5"/>
        <v>0.9673416068</v>
      </c>
      <c r="J475" s="1">
        <f t="shared" si="6"/>
        <v>-50</v>
      </c>
      <c r="K475" s="1" t="str">
        <f t="shared" si="7"/>
        <v>Under Forecast</v>
      </c>
      <c r="L475" s="1">
        <f>F475+J474</f>
        <v>-166</v>
      </c>
      <c r="M475" s="7">
        <f t="shared" si="10"/>
        <v>82.39451477</v>
      </c>
      <c r="N475" s="7">
        <f t="shared" si="8"/>
        <v>-2.014697222</v>
      </c>
      <c r="O475" s="2" t="str">
        <f t="shared" si="9"/>
        <v>Acceptable</v>
      </c>
    </row>
    <row r="476" ht="15.75" customHeight="1">
      <c r="A476" s="1" t="s">
        <v>67</v>
      </c>
      <c r="B476" s="1" t="s">
        <v>16</v>
      </c>
      <c r="C476" s="1" t="s">
        <v>23</v>
      </c>
      <c r="D476" s="1">
        <v>1643.0</v>
      </c>
      <c r="E476" s="1">
        <v>1766.0</v>
      </c>
      <c r="F476" s="1">
        <f t="shared" si="2"/>
        <v>123</v>
      </c>
      <c r="G476" s="1">
        <f t="shared" si="3"/>
        <v>123</v>
      </c>
      <c r="H476" s="6">
        <f t="shared" si="4"/>
        <v>0.07486305539</v>
      </c>
      <c r="I476" s="6">
        <f t="shared" si="5"/>
        <v>0.9251369446</v>
      </c>
      <c r="J476" s="1">
        <f t="shared" si="6"/>
        <v>123</v>
      </c>
      <c r="K476" s="1" t="str">
        <f t="shared" si="7"/>
        <v>Over Forecast</v>
      </c>
      <c r="L476" s="1">
        <f>F476</f>
        <v>123</v>
      </c>
      <c r="M476" s="7">
        <f t="shared" si="10"/>
        <v>82.48</v>
      </c>
      <c r="N476" s="7">
        <f t="shared" si="8"/>
        <v>1.491270611</v>
      </c>
      <c r="O476" s="2" t="str">
        <f t="shared" si="9"/>
        <v>Acceptable</v>
      </c>
    </row>
    <row r="477" ht="15.75" customHeight="1">
      <c r="A477" s="1" t="s">
        <v>67</v>
      </c>
      <c r="B477" s="1" t="s">
        <v>16</v>
      </c>
      <c r="C477" s="1" t="s">
        <v>24</v>
      </c>
      <c r="D477" s="1">
        <v>1605.0</v>
      </c>
      <c r="E477" s="1">
        <v>1598.0</v>
      </c>
      <c r="F477" s="1">
        <f t="shared" si="2"/>
        <v>-7</v>
      </c>
      <c r="G477" s="1">
        <f t="shared" si="3"/>
        <v>7</v>
      </c>
      <c r="H477" s="6">
        <f t="shared" si="4"/>
        <v>0.004361370717</v>
      </c>
      <c r="I477" s="6">
        <f t="shared" si="5"/>
        <v>0.9956386293</v>
      </c>
      <c r="J477" s="1">
        <f t="shared" si="6"/>
        <v>-7</v>
      </c>
      <c r="K477" s="1" t="str">
        <f t="shared" si="7"/>
        <v>Under Forecast</v>
      </c>
      <c r="L477" s="1">
        <f>F477+J476</f>
        <v>116</v>
      </c>
      <c r="M477" s="7">
        <f t="shared" si="10"/>
        <v>82.32142857</v>
      </c>
      <c r="N477" s="7">
        <f t="shared" si="8"/>
        <v>1.409110629</v>
      </c>
      <c r="O477" s="2" t="str">
        <f t="shared" si="9"/>
        <v>Acceptable</v>
      </c>
    </row>
    <row r="478" ht="15.75" customHeight="1">
      <c r="A478" s="1" t="s">
        <v>67</v>
      </c>
      <c r="B478" s="1" t="s">
        <v>16</v>
      </c>
      <c r="C478" s="1" t="s">
        <v>25</v>
      </c>
      <c r="D478" s="1">
        <v>1507.0</v>
      </c>
      <c r="E478" s="1">
        <v>1590.0</v>
      </c>
      <c r="F478" s="1">
        <f t="shared" si="2"/>
        <v>83</v>
      </c>
      <c r="G478" s="1">
        <f t="shared" si="3"/>
        <v>83</v>
      </c>
      <c r="H478" s="6">
        <f t="shared" si="4"/>
        <v>0.05507631055</v>
      </c>
      <c r="I478" s="6">
        <f t="shared" si="5"/>
        <v>0.9449236894</v>
      </c>
      <c r="J478" s="1">
        <f t="shared" si="6"/>
        <v>83</v>
      </c>
      <c r="K478" s="1" t="str">
        <f t="shared" si="7"/>
        <v>Over Forecast</v>
      </c>
      <c r="L478" s="1">
        <f>F478</f>
        <v>83</v>
      </c>
      <c r="M478" s="7">
        <f t="shared" si="10"/>
        <v>82.32285115</v>
      </c>
      <c r="N478" s="7">
        <f t="shared" si="8"/>
        <v>1.008225527</v>
      </c>
      <c r="O478" s="2" t="str">
        <f t="shared" si="9"/>
        <v>Acceptable</v>
      </c>
    </row>
    <row r="479" ht="15.75" customHeight="1">
      <c r="A479" s="1" t="s">
        <v>67</v>
      </c>
      <c r="B479" s="1" t="s">
        <v>16</v>
      </c>
      <c r="C479" s="1" t="s">
        <v>26</v>
      </c>
      <c r="D479" s="1">
        <v>1341.0</v>
      </c>
      <c r="E479" s="1">
        <v>1411.0</v>
      </c>
      <c r="F479" s="1">
        <f t="shared" si="2"/>
        <v>70</v>
      </c>
      <c r="G479" s="1">
        <f t="shared" si="3"/>
        <v>70</v>
      </c>
      <c r="H479" s="6">
        <f t="shared" si="4"/>
        <v>0.05219985086</v>
      </c>
      <c r="I479" s="6">
        <f t="shared" si="5"/>
        <v>0.9478001491</v>
      </c>
      <c r="J479" s="1">
        <f t="shared" si="6"/>
        <v>70</v>
      </c>
      <c r="K479" s="1" t="str">
        <f t="shared" si="7"/>
        <v>Over Forecast</v>
      </c>
      <c r="L479" s="1">
        <f>F479+J478</f>
        <v>153</v>
      </c>
      <c r="M479" s="7">
        <f t="shared" si="10"/>
        <v>82.29707113</v>
      </c>
      <c r="N479" s="7">
        <f t="shared" si="8"/>
        <v>1.85911841</v>
      </c>
      <c r="O479" s="2" t="str">
        <f t="shared" si="9"/>
        <v>Acceptable</v>
      </c>
    </row>
    <row r="480" ht="15.75" customHeight="1">
      <c r="A480" s="1" t="s">
        <v>67</v>
      </c>
      <c r="B480" s="1" t="s">
        <v>16</v>
      </c>
      <c r="C480" s="1" t="s">
        <v>27</v>
      </c>
      <c r="D480" s="1">
        <v>1249.0</v>
      </c>
      <c r="E480" s="1">
        <v>1268.0</v>
      </c>
      <c r="F480" s="1">
        <f t="shared" si="2"/>
        <v>19</v>
      </c>
      <c r="G480" s="1">
        <f t="shared" si="3"/>
        <v>19</v>
      </c>
      <c r="H480" s="6">
        <f t="shared" si="4"/>
        <v>0.01521216974</v>
      </c>
      <c r="I480" s="6">
        <f t="shared" si="5"/>
        <v>0.9847878303</v>
      </c>
      <c r="J480" s="1">
        <f t="shared" si="6"/>
        <v>19</v>
      </c>
      <c r="K480" s="1" t="str">
        <f t="shared" si="7"/>
        <v>Over Forecast</v>
      </c>
      <c r="L480" s="1">
        <f>F480</f>
        <v>19</v>
      </c>
      <c r="M480" s="7">
        <f t="shared" si="10"/>
        <v>82.16492693</v>
      </c>
      <c r="N480" s="7">
        <f t="shared" si="8"/>
        <v>0.2312422187</v>
      </c>
      <c r="O480" s="2" t="str">
        <f t="shared" si="9"/>
        <v>Acceptable</v>
      </c>
    </row>
    <row r="481" ht="15.75" customHeight="1">
      <c r="A481" s="1" t="s">
        <v>67</v>
      </c>
      <c r="B481" s="1" t="s">
        <v>16</v>
      </c>
      <c r="C481" s="1" t="s">
        <v>28</v>
      </c>
      <c r="D481" s="1">
        <v>1274.0</v>
      </c>
      <c r="E481" s="1">
        <v>1196.0</v>
      </c>
      <c r="F481" s="1">
        <f t="shared" si="2"/>
        <v>-78</v>
      </c>
      <c r="G481" s="1">
        <f t="shared" si="3"/>
        <v>78</v>
      </c>
      <c r="H481" s="6">
        <f t="shared" si="4"/>
        <v>0.0612244898</v>
      </c>
      <c r="I481" s="6">
        <f t="shared" si="5"/>
        <v>0.9387755102</v>
      </c>
      <c r="J481" s="1">
        <f t="shared" si="6"/>
        <v>-78</v>
      </c>
      <c r="K481" s="1" t="str">
        <f t="shared" si="7"/>
        <v>Under Forecast</v>
      </c>
      <c r="L481" s="1">
        <f>F481+J480</f>
        <v>-59</v>
      </c>
      <c r="M481" s="7">
        <f t="shared" si="10"/>
        <v>82.15625</v>
      </c>
      <c r="N481" s="7">
        <f t="shared" si="8"/>
        <v>-0.7181437809</v>
      </c>
      <c r="O481" s="2" t="str">
        <f t="shared" si="9"/>
        <v>Acceptable</v>
      </c>
    </row>
    <row r="482" ht="15.75" customHeight="1">
      <c r="A482" s="1" t="s">
        <v>68</v>
      </c>
      <c r="B482" s="1" t="s">
        <v>69</v>
      </c>
      <c r="C482" s="1" t="s">
        <v>17</v>
      </c>
      <c r="D482" s="1">
        <v>389.0</v>
      </c>
      <c r="E482" s="1">
        <v>382.0</v>
      </c>
      <c r="F482" s="1">
        <f t="shared" si="2"/>
        <v>-7</v>
      </c>
      <c r="G482" s="1">
        <f t="shared" si="3"/>
        <v>7</v>
      </c>
      <c r="H482" s="6">
        <f t="shared" si="4"/>
        <v>0.01799485861</v>
      </c>
      <c r="I482" s="6">
        <f t="shared" si="5"/>
        <v>0.9820051414</v>
      </c>
      <c r="J482" s="1">
        <f t="shared" si="6"/>
        <v>-7</v>
      </c>
      <c r="K482" s="1" t="str">
        <f t="shared" si="7"/>
        <v>Under Forecast</v>
      </c>
      <c r="L482" s="1">
        <f>F482</f>
        <v>-7</v>
      </c>
      <c r="M482" s="7">
        <f t="shared" si="10"/>
        <v>82</v>
      </c>
      <c r="N482" s="7">
        <f t="shared" si="8"/>
        <v>-0.08536585366</v>
      </c>
      <c r="O482" s="2" t="str">
        <f t="shared" si="9"/>
        <v>Acceptable</v>
      </c>
    </row>
    <row r="483" ht="15.75" customHeight="1">
      <c r="A483" s="1" t="s">
        <v>68</v>
      </c>
      <c r="B483" s="1" t="s">
        <v>69</v>
      </c>
      <c r="C483" s="1" t="s">
        <v>18</v>
      </c>
      <c r="D483" s="1">
        <v>401.0</v>
      </c>
      <c r="E483" s="1">
        <v>409.0</v>
      </c>
      <c r="F483" s="1">
        <f t="shared" si="2"/>
        <v>8</v>
      </c>
      <c r="G483" s="1">
        <f t="shared" si="3"/>
        <v>8</v>
      </c>
      <c r="H483" s="6">
        <f t="shared" si="4"/>
        <v>0.01995012469</v>
      </c>
      <c r="I483" s="6">
        <f t="shared" si="5"/>
        <v>0.9800498753</v>
      </c>
      <c r="J483" s="1">
        <f t="shared" si="6"/>
        <v>8</v>
      </c>
      <c r="K483" s="1" t="str">
        <f t="shared" si="7"/>
        <v>Over Forecast</v>
      </c>
      <c r="L483" s="1">
        <f>F483+J482</f>
        <v>1</v>
      </c>
      <c r="M483" s="7">
        <f t="shared" si="10"/>
        <v>81.84647303</v>
      </c>
      <c r="N483" s="7">
        <f t="shared" si="8"/>
        <v>0.01221799747</v>
      </c>
      <c r="O483" s="2" t="str">
        <f t="shared" si="9"/>
        <v>Acceptable</v>
      </c>
    </row>
    <row r="484" ht="15.75" customHeight="1">
      <c r="A484" s="1" t="s">
        <v>68</v>
      </c>
      <c r="B484" s="1" t="s">
        <v>69</v>
      </c>
      <c r="C484" s="1" t="s">
        <v>19</v>
      </c>
      <c r="D484" s="1">
        <v>463.0</v>
      </c>
      <c r="E484" s="1">
        <v>468.0</v>
      </c>
      <c r="F484" s="1">
        <f t="shared" si="2"/>
        <v>5</v>
      </c>
      <c r="G484" s="1">
        <f t="shared" si="3"/>
        <v>5</v>
      </c>
      <c r="H484" s="6">
        <f t="shared" si="4"/>
        <v>0.01079913607</v>
      </c>
      <c r="I484" s="6">
        <f t="shared" si="5"/>
        <v>0.9892008639</v>
      </c>
      <c r="J484" s="1">
        <f t="shared" si="6"/>
        <v>5</v>
      </c>
      <c r="K484" s="1" t="str">
        <f t="shared" si="7"/>
        <v>Over Forecast</v>
      </c>
      <c r="L484" s="1">
        <f>F484</f>
        <v>5</v>
      </c>
      <c r="M484" s="7">
        <f t="shared" si="10"/>
        <v>81.6873706</v>
      </c>
      <c r="N484" s="7">
        <f t="shared" si="8"/>
        <v>0.06120897225</v>
      </c>
      <c r="O484" s="2" t="str">
        <f t="shared" si="9"/>
        <v>Acceptable</v>
      </c>
    </row>
    <row r="485" ht="15.75" customHeight="1">
      <c r="A485" s="1" t="s">
        <v>68</v>
      </c>
      <c r="B485" s="1" t="s">
        <v>69</v>
      </c>
      <c r="C485" s="1" t="s">
        <v>20</v>
      </c>
      <c r="D485" s="1">
        <v>475.0</v>
      </c>
      <c r="E485" s="1">
        <v>508.0</v>
      </c>
      <c r="F485" s="1">
        <f t="shared" si="2"/>
        <v>33</v>
      </c>
      <c r="G485" s="1">
        <f t="shared" si="3"/>
        <v>33</v>
      </c>
      <c r="H485" s="6">
        <f t="shared" si="4"/>
        <v>0.06947368421</v>
      </c>
      <c r="I485" s="6">
        <f t="shared" si="5"/>
        <v>0.9305263158</v>
      </c>
      <c r="J485" s="1">
        <f t="shared" si="6"/>
        <v>33</v>
      </c>
      <c r="K485" s="1" t="str">
        <f t="shared" si="7"/>
        <v>Over Forecast</v>
      </c>
      <c r="L485" s="1">
        <f>F485+J484</f>
        <v>38</v>
      </c>
      <c r="M485" s="7">
        <f t="shared" si="10"/>
        <v>81.58677686</v>
      </c>
      <c r="N485" s="7">
        <f t="shared" si="8"/>
        <v>0.4657617504</v>
      </c>
      <c r="O485" s="2" t="str">
        <f t="shared" si="9"/>
        <v>Acceptable</v>
      </c>
    </row>
    <row r="486" ht="15.75" customHeight="1">
      <c r="A486" s="1" t="s">
        <v>68</v>
      </c>
      <c r="B486" s="1" t="s">
        <v>69</v>
      </c>
      <c r="C486" s="1" t="s">
        <v>21</v>
      </c>
      <c r="D486" s="1">
        <v>488.0</v>
      </c>
      <c r="E486" s="1">
        <v>477.0</v>
      </c>
      <c r="F486" s="1">
        <f t="shared" si="2"/>
        <v>-11</v>
      </c>
      <c r="G486" s="1">
        <f t="shared" si="3"/>
        <v>11</v>
      </c>
      <c r="H486" s="6">
        <f t="shared" si="4"/>
        <v>0.02254098361</v>
      </c>
      <c r="I486" s="6">
        <f t="shared" si="5"/>
        <v>0.9774590164</v>
      </c>
      <c r="J486" s="1">
        <f t="shared" si="6"/>
        <v>-11</v>
      </c>
      <c r="K486" s="1" t="str">
        <f t="shared" si="7"/>
        <v>Under Forecast</v>
      </c>
      <c r="L486" s="1">
        <f>F486</f>
        <v>-11</v>
      </c>
      <c r="M486" s="7">
        <f t="shared" si="10"/>
        <v>81.44123711</v>
      </c>
      <c r="N486" s="7">
        <f t="shared" si="8"/>
        <v>-0.1350667105</v>
      </c>
      <c r="O486" s="2" t="str">
        <f t="shared" si="9"/>
        <v>Acceptable</v>
      </c>
    </row>
    <row r="487" ht="15.75" customHeight="1">
      <c r="A487" s="1" t="s">
        <v>68</v>
      </c>
      <c r="B487" s="1" t="s">
        <v>69</v>
      </c>
      <c r="C487" s="1" t="s">
        <v>22</v>
      </c>
      <c r="D487" s="1">
        <v>545.0</v>
      </c>
      <c r="E487" s="1">
        <v>531.0</v>
      </c>
      <c r="F487" s="1">
        <f t="shared" si="2"/>
        <v>-14</v>
      </c>
      <c r="G487" s="1">
        <f t="shared" si="3"/>
        <v>14</v>
      </c>
      <c r="H487" s="6">
        <f t="shared" si="4"/>
        <v>0.02568807339</v>
      </c>
      <c r="I487" s="6">
        <f t="shared" si="5"/>
        <v>0.9743119266</v>
      </c>
      <c r="J487" s="1">
        <f t="shared" si="6"/>
        <v>-14</v>
      </c>
      <c r="K487" s="1" t="str">
        <f t="shared" si="7"/>
        <v>Under Forecast</v>
      </c>
      <c r="L487" s="1">
        <f>F487+J486</f>
        <v>-25</v>
      </c>
      <c r="M487" s="7">
        <f t="shared" si="10"/>
        <v>81.30246914</v>
      </c>
      <c r="N487" s="7">
        <f t="shared" si="8"/>
        <v>-0.3074937362</v>
      </c>
      <c r="O487" s="2" t="str">
        <f t="shared" si="9"/>
        <v>Acceptable</v>
      </c>
    </row>
    <row r="488" ht="15.75" customHeight="1">
      <c r="A488" s="1" t="s">
        <v>68</v>
      </c>
      <c r="B488" s="1" t="s">
        <v>69</v>
      </c>
      <c r="C488" s="1" t="s">
        <v>23</v>
      </c>
      <c r="D488" s="1">
        <v>525.0</v>
      </c>
      <c r="E488" s="1">
        <v>602.0</v>
      </c>
      <c r="F488" s="1">
        <f t="shared" si="2"/>
        <v>77</v>
      </c>
      <c r="G488" s="1">
        <f t="shared" si="3"/>
        <v>77</v>
      </c>
      <c r="H488" s="6">
        <f t="shared" si="4"/>
        <v>0.1466666667</v>
      </c>
      <c r="I488" s="6">
        <f t="shared" si="5"/>
        <v>0.8533333333</v>
      </c>
      <c r="J488" s="1">
        <f t="shared" si="6"/>
        <v>77</v>
      </c>
      <c r="K488" s="1" t="str">
        <f t="shared" si="7"/>
        <v>Over Forecast</v>
      </c>
      <c r="L488" s="1">
        <f>F488</f>
        <v>77</v>
      </c>
      <c r="M488" s="7">
        <f t="shared" si="10"/>
        <v>81.2936345</v>
      </c>
      <c r="N488" s="7">
        <f t="shared" si="8"/>
        <v>0.9471836322</v>
      </c>
      <c r="O488" s="2" t="str">
        <f t="shared" si="9"/>
        <v>Acceptable</v>
      </c>
    </row>
    <row r="489" ht="15.75" customHeight="1">
      <c r="A489" s="1" t="s">
        <v>68</v>
      </c>
      <c r="B489" s="1" t="s">
        <v>69</v>
      </c>
      <c r="C489" s="1" t="s">
        <v>24</v>
      </c>
      <c r="D489" s="1">
        <v>471.0</v>
      </c>
      <c r="E489" s="1">
        <v>426.0</v>
      </c>
      <c r="F489" s="1">
        <f t="shared" si="2"/>
        <v>-45</v>
      </c>
      <c r="G489" s="1">
        <f t="shared" si="3"/>
        <v>45</v>
      </c>
      <c r="H489" s="6">
        <f t="shared" si="4"/>
        <v>0.09554140127</v>
      </c>
      <c r="I489" s="6">
        <f t="shared" si="5"/>
        <v>0.9044585987</v>
      </c>
      <c r="J489" s="1">
        <f t="shared" si="6"/>
        <v>-45</v>
      </c>
      <c r="K489" s="1" t="str">
        <f t="shared" si="7"/>
        <v>Under Forecast</v>
      </c>
      <c r="L489" s="1">
        <f>F489+J488</f>
        <v>32</v>
      </c>
      <c r="M489" s="7">
        <f t="shared" si="10"/>
        <v>81.2192623</v>
      </c>
      <c r="N489" s="7">
        <f t="shared" si="8"/>
        <v>0.3939952063</v>
      </c>
      <c r="O489" s="2" t="str">
        <f t="shared" si="9"/>
        <v>Acceptable</v>
      </c>
    </row>
    <row r="490" ht="15.75" customHeight="1">
      <c r="A490" s="1" t="s">
        <v>68</v>
      </c>
      <c r="B490" s="1" t="s">
        <v>69</v>
      </c>
      <c r="C490" s="1" t="s">
        <v>25</v>
      </c>
      <c r="D490" s="1">
        <v>495.0</v>
      </c>
      <c r="E490" s="1">
        <v>559.0</v>
      </c>
      <c r="F490" s="1">
        <f t="shared" si="2"/>
        <v>64</v>
      </c>
      <c r="G490" s="1">
        <f t="shared" si="3"/>
        <v>64</v>
      </c>
      <c r="H490" s="6">
        <f t="shared" si="4"/>
        <v>0.1292929293</v>
      </c>
      <c r="I490" s="6">
        <f t="shared" si="5"/>
        <v>0.8707070707</v>
      </c>
      <c r="J490" s="1">
        <f t="shared" si="6"/>
        <v>64</v>
      </c>
      <c r="K490" s="1" t="str">
        <f t="shared" si="7"/>
        <v>Over Forecast</v>
      </c>
      <c r="L490" s="1">
        <f>F490</f>
        <v>64</v>
      </c>
      <c r="M490" s="7">
        <f t="shared" si="10"/>
        <v>81.18404908</v>
      </c>
      <c r="N490" s="7">
        <f t="shared" si="8"/>
        <v>0.7883321998</v>
      </c>
      <c r="O490" s="2" t="str">
        <f t="shared" si="9"/>
        <v>Acceptable</v>
      </c>
    </row>
    <row r="491" ht="15.75" customHeight="1">
      <c r="A491" s="1" t="s">
        <v>68</v>
      </c>
      <c r="B491" s="1" t="s">
        <v>69</v>
      </c>
      <c r="C491" s="1" t="s">
        <v>26</v>
      </c>
      <c r="D491" s="1">
        <v>466.0</v>
      </c>
      <c r="E491" s="1">
        <v>397.0</v>
      </c>
      <c r="F491" s="1">
        <f t="shared" si="2"/>
        <v>-69</v>
      </c>
      <c r="G491" s="1">
        <f t="shared" si="3"/>
        <v>69</v>
      </c>
      <c r="H491" s="6">
        <f t="shared" si="4"/>
        <v>0.1480686695</v>
      </c>
      <c r="I491" s="6">
        <f t="shared" si="5"/>
        <v>0.8519313305</v>
      </c>
      <c r="J491" s="1">
        <f t="shared" si="6"/>
        <v>-69</v>
      </c>
      <c r="K491" s="1" t="str">
        <f t="shared" si="7"/>
        <v>Under Forecast</v>
      </c>
      <c r="L491" s="1">
        <f>F491+J490</f>
        <v>-5</v>
      </c>
      <c r="M491" s="7">
        <f t="shared" si="10"/>
        <v>81.15918367</v>
      </c>
      <c r="N491" s="7">
        <f t="shared" si="8"/>
        <v>-0.06160732247</v>
      </c>
      <c r="O491" s="2" t="str">
        <f t="shared" si="9"/>
        <v>Acceptable</v>
      </c>
    </row>
    <row r="492" ht="15.75" customHeight="1">
      <c r="A492" s="1" t="s">
        <v>68</v>
      </c>
      <c r="B492" s="1" t="s">
        <v>69</v>
      </c>
      <c r="C492" s="1" t="s">
        <v>27</v>
      </c>
      <c r="D492" s="1">
        <v>466.0</v>
      </c>
      <c r="E492" s="1">
        <v>408.0</v>
      </c>
      <c r="F492" s="1">
        <f t="shared" si="2"/>
        <v>-58</v>
      </c>
      <c r="G492" s="1">
        <f t="shared" si="3"/>
        <v>58</v>
      </c>
      <c r="H492" s="6">
        <f t="shared" si="4"/>
        <v>0.1244635193</v>
      </c>
      <c r="I492" s="6">
        <f t="shared" si="5"/>
        <v>0.8755364807</v>
      </c>
      <c r="J492" s="1">
        <f t="shared" si="6"/>
        <v>-58</v>
      </c>
      <c r="K492" s="1" t="str">
        <f t="shared" si="7"/>
        <v>Under Forecast</v>
      </c>
      <c r="L492" s="1">
        <f>F492</f>
        <v>-58</v>
      </c>
      <c r="M492" s="7">
        <f t="shared" si="10"/>
        <v>81.11201629</v>
      </c>
      <c r="N492" s="7">
        <f t="shared" si="8"/>
        <v>-0.7150605132</v>
      </c>
      <c r="O492" s="2" t="str">
        <f t="shared" si="9"/>
        <v>Acceptable</v>
      </c>
    </row>
    <row r="493" ht="15.75" customHeight="1">
      <c r="A493" s="1" t="s">
        <v>68</v>
      </c>
      <c r="B493" s="1" t="s">
        <v>69</v>
      </c>
      <c r="C493" s="1" t="s">
        <v>28</v>
      </c>
      <c r="D493" s="1">
        <v>462.0</v>
      </c>
      <c r="E493" s="1">
        <v>459.0</v>
      </c>
      <c r="F493" s="1">
        <f t="shared" si="2"/>
        <v>-3</v>
      </c>
      <c r="G493" s="1">
        <f t="shared" si="3"/>
        <v>3</v>
      </c>
      <c r="H493" s="6">
        <f t="shared" si="4"/>
        <v>0.006493506494</v>
      </c>
      <c r="I493" s="6">
        <f t="shared" si="5"/>
        <v>0.9935064935</v>
      </c>
      <c r="J493" s="1">
        <f t="shared" si="6"/>
        <v>-3</v>
      </c>
      <c r="K493" s="1" t="str">
        <f t="shared" si="7"/>
        <v>Under Forecast</v>
      </c>
      <c r="L493" s="1">
        <f>F493+J492</f>
        <v>-61</v>
      </c>
      <c r="M493" s="7">
        <f t="shared" si="10"/>
        <v>80.95325203</v>
      </c>
      <c r="N493" s="7">
        <f t="shared" si="8"/>
        <v>-0.7535213036</v>
      </c>
      <c r="O493" s="2" t="str">
        <f t="shared" si="9"/>
        <v>Acceptable</v>
      </c>
    </row>
    <row r="494" ht="15.75" customHeight="1">
      <c r="A494" s="1" t="s">
        <v>70</v>
      </c>
      <c r="B494" s="1" t="s">
        <v>69</v>
      </c>
      <c r="C494" s="1" t="s">
        <v>17</v>
      </c>
      <c r="D494" s="1">
        <v>609.0</v>
      </c>
      <c r="E494" s="1">
        <v>688.0</v>
      </c>
      <c r="F494" s="1">
        <f t="shared" si="2"/>
        <v>79</v>
      </c>
      <c r="G494" s="1">
        <f t="shared" si="3"/>
        <v>79</v>
      </c>
      <c r="H494" s="6">
        <f t="shared" si="4"/>
        <v>0.1297208539</v>
      </c>
      <c r="I494" s="6">
        <f t="shared" si="5"/>
        <v>0.8702791461</v>
      </c>
      <c r="J494" s="1">
        <f t="shared" si="6"/>
        <v>79</v>
      </c>
      <c r="K494" s="1" t="str">
        <f t="shared" si="7"/>
        <v>Over Forecast</v>
      </c>
      <c r="L494" s="1">
        <f>F494</f>
        <v>79</v>
      </c>
      <c r="M494" s="7">
        <f t="shared" si="10"/>
        <v>80.94929006</v>
      </c>
      <c r="N494" s="7">
        <f t="shared" si="8"/>
        <v>0.9759196151</v>
      </c>
      <c r="O494" s="2" t="str">
        <f t="shared" si="9"/>
        <v>Acceptable</v>
      </c>
    </row>
    <row r="495" ht="15.75" customHeight="1">
      <c r="A495" s="1" t="s">
        <v>70</v>
      </c>
      <c r="B495" s="1" t="s">
        <v>69</v>
      </c>
      <c r="C495" s="1" t="s">
        <v>18</v>
      </c>
      <c r="D495" s="1">
        <v>578.0</v>
      </c>
      <c r="E495" s="1">
        <v>593.0</v>
      </c>
      <c r="F495" s="1">
        <f t="shared" si="2"/>
        <v>15</v>
      </c>
      <c r="G495" s="1">
        <f t="shared" si="3"/>
        <v>15</v>
      </c>
      <c r="H495" s="6">
        <f t="shared" si="4"/>
        <v>0.02595155709</v>
      </c>
      <c r="I495" s="6">
        <f t="shared" si="5"/>
        <v>0.9740484429</v>
      </c>
      <c r="J495" s="1">
        <f t="shared" si="6"/>
        <v>15</v>
      </c>
      <c r="K495" s="1" t="str">
        <f t="shared" si="7"/>
        <v>Over Forecast</v>
      </c>
      <c r="L495" s="1">
        <f>F495+J494</f>
        <v>94</v>
      </c>
      <c r="M495" s="7">
        <f t="shared" si="10"/>
        <v>80.81578947</v>
      </c>
      <c r="N495" s="7">
        <f t="shared" si="8"/>
        <v>1.163139043</v>
      </c>
      <c r="O495" s="2" t="str">
        <f t="shared" si="9"/>
        <v>Acceptable</v>
      </c>
    </row>
    <row r="496" ht="15.75" customHeight="1">
      <c r="A496" s="1" t="s">
        <v>70</v>
      </c>
      <c r="B496" s="1" t="s">
        <v>69</v>
      </c>
      <c r="C496" s="1" t="s">
        <v>19</v>
      </c>
      <c r="D496" s="1">
        <v>656.0</v>
      </c>
      <c r="E496" s="1">
        <v>637.0</v>
      </c>
      <c r="F496" s="1">
        <f t="shared" si="2"/>
        <v>-19</v>
      </c>
      <c r="G496" s="1">
        <f t="shared" si="3"/>
        <v>19</v>
      </c>
      <c r="H496" s="6">
        <f t="shared" si="4"/>
        <v>0.02896341463</v>
      </c>
      <c r="I496" s="6">
        <f t="shared" si="5"/>
        <v>0.9710365854</v>
      </c>
      <c r="J496" s="1">
        <f t="shared" si="6"/>
        <v>-19</v>
      </c>
      <c r="K496" s="1" t="str">
        <f t="shared" si="7"/>
        <v>Under Forecast</v>
      </c>
      <c r="L496" s="1">
        <f>F496</f>
        <v>-19</v>
      </c>
      <c r="M496" s="7">
        <f t="shared" si="10"/>
        <v>80.69090909</v>
      </c>
      <c r="N496" s="7">
        <f t="shared" si="8"/>
        <v>-0.2354664263</v>
      </c>
      <c r="O496" s="2" t="str">
        <f t="shared" si="9"/>
        <v>Acceptable</v>
      </c>
    </row>
    <row r="497" ht="15.75" customHeight="1">
      <c r="A497" s="1" t="s">
        <v>70</v>
      </c>
      <c r="B497" s="1" t="s">
        <v>69</v>
      </c>
      <c r="C497" s="1" t="s">
        <v>20</v>
      </c>
      <c r="D497" s="1">
        <v>610.0</v>
      </c>
      <c r="E497" s="1">
        <v>613.0</v>
      </c>
      <c r="F497" s="1">
        <f t="shared" si="2"/>
        <v>3</v>
      </c>
      <c r="G497" s="1">
        <f t="shared" si="3"/>
        <v>3</v>
      </c>
      <c r="H497" s="6">
        <f t="shared" si="4"/>
        <v>0.004918032787</v>
      </c>
      <c r="I497" s="6">
        <f t="shared" si="5"/>
        <v>0.9950819672</v>
      </c>
      <c r="J497" s="1">
        <f t="shared" si="6"/>
        <v>3</v>
      </c>
      <c r="K497" s="1" t="str">
        <f t="shared" si="7"/>
        <v>Over Forecast</v>
      </c>
      <c r="L497" s="1">
        <f>F497+J496</f>
        <v>-16</v>
      </c>
      <c r="M497" s="7">
        <f t="shared" si="10"/>
        <v>80.53427419</v>
      </c>
      <c r="N497" s="7">
        <f t="shared" si="8"/>
        <v>-0.1986731756</v>
      </c>
      <c r="O497" s="2" t="str">
        <f t="shared" si="9"/>
        <v>Acceptable</v>
      </c>
    </row>
    <row r="498" ht="15.75" customHeight="1">
      <c r="A498" s="1" t="s">
        <v>70</v>
      </c>
      <c r="B498" s="1" t="s">
        <v>69</v>
      </c>
      <c r="C498" s="1" t="s">
        <v>21</v>
      </c>
      <c r="D498" s="1">
        <v>667.0</v>
      </c>
      <c r="E498" s="1">
        <v>659.0</v>
      </c>
      <c r="F498" s="1">
        <f t="shared" si="2"/>
        <v>-8</v>
      </c>
      <c r="G498" s="1">
        <f t="shared" si="3"/>
        <v>8</v>
      </c>
      <c r="H498" s="6">
        <f t="shared" si="4"/>
        <v>0.011994003</v>
      </c>
      <c r="I498" s="6">
        <f t="shared" si="5"/>
        <v>0.988005997</v>
      </c>
      <c r="J498" s="1">
        <f t="shared" si="6"/>
        <v>-8</v>
      </c>
      <c r="K498" s="1" t="str">
        <f t="shared" si="7"/>
        <v>Under Forecast</v>
      </c>
      <c r="L498" s="1">
        <f>F498</f>
        <v>-8</v>
      </c>
      <c r="M498" s="7">
        <f t="shared" si="10"/>
        <v>80.38832998</v>
      </c>
      <c r="N498" s="7">
        <f t="shared" si="8"/>
        <v>-0.0995169324</v>
      </c>
      <c r="O498" s="2" t="str">
        <f t="shared" si="9"/>
        <v>Acceptable</v>
      </c>
    </row>
    <row r="499" ht="15.75" customHeight="1">
      <c r="A499" s="1" t="s">
        <v>70</v>
      </c>
      <c r="B499" s="1" t="s">
        <v>69</v>
      </c>
      <c r="C499" s="1" t="s">
        <v>22</v>
      </c>
      <c r="D499" s="1">
        <v>689.0</v>
      </c>
      <c r="E499" s="1">
        <v>628.0</v>
      </c>
      <c r="F499" s="1">
        <f t="shared" si="2"/>
        <v>-61</v>
      </c>
      <c r="G499" s="1">
        <f t="shared" si="3"/>
        <v>61</v>
      </c>
      <c r="H499" s="6">
        <f t="shared" si="4"/>
        <v>0.0885341074</v>
      </c>
      <c r="I499" s="6">
        <f t="shared" si="5"/>
        <v>0.9114658926</v>
      </c>
      <c r="J499" s="1">
        <f t="shared" si="6"/>
        <v>-61</v>
      </c>
      <c r="K499" s="1" t="str">
        <f t="shared" si="7"/>
        <v>Under Forecast</v>
      </c>
      <c r="L499" s="1">
        <f>F499+J498</f>
        <v>-69</v>
      </c>
      <c r="M499" s="7">
        <f t="shared" si="10"/>
        <v>80.34939759</v>
      </c>
      <c r="N499" s="7">
        <f t="shared" si="8"/>
        <v>-0.8587494377</v>
      </c>
      <c r="O499" s="2" t="str">
        <f t="shared" si="9"/>
        <v>Acceptable</v>
      </c>
    </row>
    <row r="500" ht="15.75" customHeight="1">
      <c r="A500" s="1" t="s">
        <v>70</v>
      </c>
      <c r="B500" s="1" t="s">
        <v>69</v>
      </c>
      <c r="C500" s="1" t="s">
        <v>23</v>
      </c>
      <c r="D500" s="1">
        <v>686.0</v>
      </c>
      <c r="E500" s="1">
        <v>820.0</v>
      </c>
      <c r="F500" s="1">
        <f t="shared" si="2"/>
        <v>134</v>
      </c>
      <c r="G500" s="1">
        <f t="shared" si="3"/>
        <v>134</v>
      </c>
      <c r="H500" s="6">
        <f t="shared" si="4"/>
        <v>0.195335277</v>
      </c>
      <c r="I500" s="6">
        <f t="shared" si="5"/>
        <v>0.804664723</v>
      </c>
      <c r="J500" s="1">
        <f t="shared" si="6"/>
        <v>134</v>
      </c>
      <c r="K500" s="1" t="str">
        <f t="shared" si="7"/>
        <v>Over Forecast</v>
      </c>
      <c r="L500" s="1">
        <f>F500</f>
        <v>134</v>
      </c>
      <c r="M500" s="7">
        <f t="shared" si="10"/>
        <v>80.45691383</v>
      </c>
      <c r="N500" s="7">
        <f t="shared" si="8"/>
        <v>1.665487696</v>
      </c>
      <c r="O500" s="2" t="str">
        <f t="shared" si="9"/>
        <v>Acceptable</v>
      </c>
    </row>
    <row r="501" ht="15.75" customHeight="1">
      <c r="A501" s="1" t="s">
        <v>70</v>
      </c>
      <c r="B501" s="1" t="s">
        <v>69</v>
      </c>
      <c r="C501" s="1" t="s">
        <v>24</v>
      </c>
      <c r="D501" s="1">
        <v>740.0</v>
      </c>
      <c r="E501" s="1">
        <v>751.0</v>
      </c>
      <c r="F501" s="1">
        <f t="shared" si="2"/>
        <v>11</v>
      </c>
      <c r="G501" s="1">
        <f t="shared" si="3"/>
        <v>11</v>
      </c>
      <c r="H501" s="6">
        <f t="shared" si="4"/>
        <v>0.01486486486</v>
      </c>
      <c r="I501" s="6">
        <f t="shared" si="5"/>
        <v>0.9851351351</v>
      </c>
      <c r="J501" s="1">
        <f t="shared" si="6"/>
        <v>11</v>
      </c>
      <c r="K501" s="1" t="str">
        <f t="shared" si="7"/>
        <v>Over Forecast</v>
      </c>
      <c r="L501" s="1">
        <f>F501+J500</f>
        <v>145</v>
      </c>
      <c r="M501" s="7">
        <f t="shared" si="10"/>
        <v>80.318</v>
      </c>
      <c r="N501" s="7">
        <f t="shared" si="8"/>
        <v>1.805323838</v>
      </c>
      <c r="O501" s="2" t="str">
        <f t="shared" si="9"/>
        <v>Acceptable</v>
      </c>
    </row>
    <row r="502" ht="15.75" customHeight="1">
      <c r="A502" s="1" t="s">
        <v>70</v>
      </c>
      <c r="B502" s="1" t="s">
        <v>69</v>
      </c>
      <c r="C502" s="1" t="s">
        <v>25</v>
      </c>
      <c r="D502" s="1">
        <v>753.0</v>
      </c>
      <c r="E502" s="1">
        <v>727.0</v>
      </c>
      <c r="F502" s="1">
        <f t="shared" si="2"/>
        <v>-26</v>
      </c>
      <c r="G502" s="1">
        <f t="shared" si="3"/>
        <v>26</v>
      </c>
      <c r="H502" s="6">
        <f t="shared" si="4"/>
        <v>0.03452855246</v>
      </c>
      <c r="I502" s="6">
        <f t="shared" si="5"/>
        <v>0.9654714475</v>
      </c>
      <c r="J502" s="1">
        <f t="shared" si="6"/>
        <v>-26</v>
      </c>
      <c r="K502" s="1" t="str">
        <f t="shared" si="7"/>
        <v>Under Forecast</v>
      </c>
      <c r="L502" s="1">
        <f>F502</f>
        <v>-26</v>
      </c>
      <c r="M502" s="7">
        <f t="shared" si="10"/>
        <v>80.20958084</v>
      </c>
      <c r="N502" s="7">
        <f t="shared" si="8"/>
        <v>-0.3241508025</v>
      </c>
      <c r="O502" s="2" t="str">
        <f t="shared" si="9"/>
        <v>Acceptable</v>
      </c>
    </row>
    <row r="503" ht="15.75" customHeight="1">
      <c r="A503" s="1" t="s">
        <v>70</v>
      </c>
      <c r="B503" s="1" t="s">
        <v>69</v>
      </c>
      <c r="C503" s="1" t="s">
        <v>26</v>
      </c>
      <c r="D503" s="1">
        <v>796.0</v>
      </c>
      <c r="E503" s="1">
        <v>904.0</v>
      </c>
      <c r="F503" s="1">
        <f t="shared" si="2"/>
        <v>108</v>
      </c>
      <c r="G503" s="1">
        <f t="shared" si="3"/>
        <v>108</v>
      </c>
      <c r="H503" s="6">
        <f t="shared" si="4"/>
        <v>0.135678392</v>
      </c>
      <c r="I503" s="6">
        <f t="shared" si="5"/>
        <v>0.864321608</v>
      </c>
      <c r="J503" s="1">
        <f t="shared" si="6"/>
        <v>108</v>
      </c>
      <c r="K503" s="1" t="str">
        <f t="shared" si="7"/>
        <v>Over Forecast</v>
      </c>
      <c r="L503" s="1">
        <f>F503+J502</f>
        <v>82</v>
      </c>
      <c r="M503" s="7">
        <f t="shared" si="10"/>
        <v>80.26494024</v>
      </c>
      <c r="N503" s="7">
        <f t="shared" si="8"/>
        <v>1.021616658</v>
      </c>
      <c r="O503" s="2" t="str">
        <f t="shared" si="9"/>
        <v>Acceptable</v>
      </c>
    </row>
    <row r="504" ht="15.75" customHeight="1">
      <c r="A504" s="1" t="s">
        <v>70</v>
      </c>
      <c r="B504" s="1" t="s">
        <v>69</v>
      </c>
      <c r="C504" s="1" t="s">
        <v>27</v>
      </c>
      <c r="D504" s="1">
        <v>673.0</v>
      </c>
      <c r="E504" s="1">
        <v>690.0</v>
      </c>
      <c r="F504" s="1">
        <f t="shared" si="2"/>
        <v>17</v>
      </c>
      <c r="G504" s="1">
        <f t="shared" si="3"/>
        <v>17</v>
      </c>
      <c r="H504" s="6">
        <f t="shared" si="4"/>
        <v>0.02526002972</v>
      </c>
      <c r="I504" s="6">
        <f t="shared" si="5"/>
        <v>0.9747399703</v>
      </c>
      <c r="J504" s="1">
        <f t="shared" si="6"/>
        <v>17</v>
      </c>
      <c r="K504" s="1" t="str">
        <f t="shared" si="7"/>
        <v>Over Forecast</v>
      </c>
      <c r="L504" s="1">
        <f>F504</f>
        <v>17</v>
      </c>
      <c r="M504" s="7">
        <f t="shared" si="10"/>
        <v>80.13916501</v>
      </c>
      <c r="N504" s="7">
        <f t="shared" si="8"/>
        <v>0.2121309849</v>
      </c>
      <c r="O504" s="2" t="str">
        <f t="shared" si="9"/>
        <v>Acceptable</v>
      </c>
    </row>
    <row r="505" ht="15.75" customHeight="1">
      <c r="A505" s="1" t="s">
        <v>70</v>
      </c>
      <c r="B505" s="1" t="s">
        <v>69</v>
      </c>
      <c r="C505" s="1" t="s">
        <v>28</v>
      </c>
      <c r="D505" s="1">
        <v>784.0</v>
      </c>
      <c r="E505" s="1">
        <v>927.0</v>
      </c>
      <c r="F505" s="1">
        <f t="shared" si="2"/>
        <v>143</v>
      </c>
      <c r="G505" s="1">
        <f t="shared" si="3"/>
        <v>143</v>
      </c>
      <c r="H505" s="6">
        <f t="shared" si="4"/>
        <v>0.1823979592</v>
      </c>
      <c r="I505" s="6">
        <f t="shared" si="5"/>
        <v>0.8176020408</v>
      </c>
      <c r="J505" s="1">
        <f t="shared" si="6"/>
        <v>143</v>
      </c>
      <c r="K505" s="1" t="str">
        <f t="shared" si="7"/>
        <v>Over Forecast</v>
      </c>
      <c r="L505" s="1">
        <f>F505+J504</f>
        <v>160</v>
      </c>
      <c r="M505" s="7">
        <f t="shared" si="10"/>
        <v>80.26388889</v>
      </c>
      <c r="N505" s="7">
        <f t="shared" si="8"/>
        <v>1.993424468</v>
      </c>
      <c r="O505" s="2" t="str">
        <f t="shared" si="9"/>
        <v>Acceptable</v>
      </c>
    </row>
    <row r="506" ht="15.75" customHeight="1">
      <c r="A506" s="1" t="s">
        <v>71</v>
      </c>
      <c r="B506" s="1" t="s">
        <v>69</v>
      </c>
      <c r="C506" s="1" t="s">
        <v>17</v>
      </c>
      <c r="D506" s="1">
        <v>331.0</v>
      </c>
      <c r="E506" s="1">
        <v>355.0</v>
      </c>
      <c r="F506" s="1">
        <f t="shared" si="2"/>
        <v>24</v>
      </c>
      <c r="G506" s="1">
        <f t="shared" si="3"/>
        <v>24</v>
      </c>
      <c r="H506" s="6">
        <f t="shared" si="4"/>
        <v>0.07250755287</v>
      </c>
      <c r="I506" s="6">
        <f t="shared" si="5"/>
        <v>0.9274924471</v>
      </c>
      <c r="J506" s="1">
        <f t="shared" si="6"/>
        <v>24</v>
      </c>
      <c r="K506" s="1" t="str">
        <f t="shared" si="7"/>
        <v>Over Forecast</v>
      </c>
      <c r="L506" s="1">
        <f>F506</f>
        <v>24</v>
      </c>
      <c r="M506" s="7">
        <f t="shared" si="10"/>
        <v>80.15247525</v>
      </c>
      <c r="N506" s="7">
        <f t="shared" si="8"/>
        <v>0.2994293055</v>
      </c>
      <c r="O506" s="2" t="str">
        <f t="shared" si="9"/>
        <v>Acceptable</v>
      </c>
    </row>
    <row r="507" ht="15.75" customHeight="1">
      <c r="A507" s="1" t="s">
        <v>71</v>
      </c>
      <c r="B507" s="1" t="s">
        <v>69</v>
      </c>
      <c r="C507" s="1" t="s">
        <v>18</v>
      </c>
      <c r="D507" s="1">
        <v>292.0</v>
      </c>
      <c r="E507" s="1">
        <v>283.0</v>
      </c>
      <c r="F507" s="1">
        <f t="shared" si="2"/>
        <v>-9</v>
      </c>
      <c r="G507" s="1">
        <f t="shared" si="3"/>
        <v>9</v>
      </c>
      <c r="H507" s="6">
        <f t="shared" si="4"/>
        <v>0.03082191781</v>
      </c>
      <c r="I507" s="6">
        <f t="shared" si="5"/>
        <v>0.9691780822</v>
      </c>
      <c r="J507" s="1">
        <f t="shared" si="6"/>
        <v>-9</v>
      </c>
      <c r="K507" s="1" t="str">
        <f t="shared" si="7"/>
        <v>Under Forecast</v>
      </c>
      <c r="L507" s="1">
        <f>F507+J506</f>
        <v>15</v>
      </c>
      <c r="M507" s="7">
        <f t="shared" si="10"/>
        <v>80.01185771</v>
      </c>
      <c r="N507" s="7">
        <f t="shared" si="8"/>
        <v>0.1874722126</v>
      </c>
      <c r="O507" s="2" t="str">
        <f t="shared" si="9"/>
        <v>Acceptable</v>
      </c>
    </row>
    <row r="508" ht="15.75" customHeight="1">
      <c r="A508" s="1" t="s">
        <v>71</v>
      </c>
      <c r="B508" s="1" t="s">
        <v>69</v>
      </c>
      <c r="C508" s="1" t="s">
        <v>19</v>
      </c>
      <c r="D508" s="1">
        <v>364.0</v>
      </c>
      <c r="E508" s="1">
        <v>334.0</v>
      </c>
      <c r="F508" s="1">
        <f t="shared" si="2"/>
        <v>-30</v>
      </c>
      <c r="G508" s="1">
        <f t="shared" si="3"/>
        <v>30</v>
      </c>
      <c r="H508" s="6">
        <f t="shared" si="4"/>
        <v>0.08241758242</v>
      </c>
      <c r="I508" s="6">
        <f t="shared" si="5"/>
        <v>0.9175824176</v>
      </c>
      <c r="J508" s="1">
        <f t="shared" si="6"/>
        <v>-30</v>
      </c>
      <c r="K508" s="1" t="str">
        <f t="shared" si="7"/>
        <v>Under Forecast</v>
      </c>
      <c r="L508" s="1">
        <f>F508</f>
        <v>-30</v>
      </c>
      <c r="M508" s="7">
        <f t="shared" si="10"/>
        <v>79.91321499</v>
      </c>
      <c r="N508" s="7">
        <f t="shared" si="8"/>
        <v>-0.3754072465</v>
      </c>
      <c r="O508" s="2" t="str">
        <f t="shared" si="9"/>
        <v>Acceptable</v>
      </c>
    </row>
    <row r="509" ht="15.75" customHeight="1">
      <c r="A509" s="1" t="s">
        <v>71</v>
      </c>
      <c r="B509" s="1" t="s">
        <v>69</v>
      </c>
      <c r="C509" s="1" t="s">
        <v>20</v>
      </c>
      <c r="D509" s="1">
        <v>384.0</v>
      </c>
      <c r="E509" s="1">
        <v>340.0</v>
      </c>
      <c r="F509" s="1">
        <f t="shared" si="2"/>
        <v>-44</v>
      </c>
      <c r="G509" s="1">
        <f t="shared" si="3"/>
        <v>44</v>
      </c>
      <c r="H509" s="6">
        <f t="shared" si="4"/>
        <v>0.1145833333</v>
      </c>
      <c r="I509" s="6">
        <f t="shared" si="5"/>
        <v>0.8854166667</v>
      </c>
      <c r="J509" s="1">
        <f t="shared" si="6"/>
        <v>-44</v>
      </c>
      <c r="K509" s="1" t="str">
        <f t="shared" si="7"/>
        <v>Under Forecast</v>
      </c>
      <c r="L509" s="1">
        <f>F509+J508</f>
        <v>-74</v>
      </c>
      <c r="M509" s="7">
        <f t="shared" si="10"/>
        <v>79.84251969</v>
      </c>
      <c r="N509" s="7">
        <f t="shared" si="8"/>
        <v>-0.9268244576</v>
      </c>
      <c r="O509" s="2" t="str">
        <f t="shared" si="9"/>
        <v>Acceptable</v>
      </c>
    </row>
    <row r="510" ht="15.75" customHeight="1">
      <c r="A510" s="1" t="s">
        <v>71</v>
      </c>
      <c r="B510" s="1" t="s">
        <v>69</v>
      </c>
      <c r="C510" s="1" t="s">
        <v>21</v>
      </c>
      <c r="D510" s="1">
        <v>346.0</v>
      </c>
      <c r="E510" s="1">
        <v>333.0</v>
      </c>
      <c r="F510" s="1">
        <f t="shared" si="2"/>
        <v>-13</v>
      </c>
      <c r="G510" s="1">
        <f t="shared" si="3"/>
        <v>13</v>
      </c>
      <c r="H510" s="6">
        <f t="shared" si="4"/>
        <v>0.03757225434</v>
      </c>
      <c r="I510" s="6">
        <f t="shared" si="5"/>
        <v>0.9624277457</v>
      </c>
      <c r="J510" s="1">
        <f t="shared" si="6"/>
        <v>-13</v>
      </c>
      <c r="K510" s="1" t="str">
        <f t="shared" si="7"/>
        <v>Under Forecast</v>
      </c>
      <c r="L510" s="1">
        <f>F510</f>
        <v>-13</v>
      </c>
      <c r="M510" s="7">
        <f t="shared" si="10"/>
        <v>79.71119843</v>
      </c>
      <c r="N510" s="7">
        <f t="shared" si="8"/>
        <v>-0.1630887536</v>
      </c>
      <c r="O510" s="2" t="str">
        <f t="shared" si="9"/>
        <v>Acceptable</v>
      </c>
    </row>
    <row r="511" ht="15.75" customHeight="1">
      <c r="A511" s="1" t="s">
        <v>71</v>
      </c>
      <c r="B511" s="1" t="s">
        <v>69</v>
      </c>
      <c r="C511" s="1" t="s">
        <v>22</v>
      </c>
      <c r="D511" s="1">
        <v>361.0</v>
      </c>
      <c r="E511" s="1">
        <v>410.0</v>
      </c>
      <c r="F511" s="1">
        <f t="shared" si="2"/>
        <v>49</v>
      </c>
      <c r="G511" s="1">
        <f t="shared" si="3"/>
        <v>49</v>
      </c>
      <c r="H511" s="6">
        <f t="shared" si="4"/>
        <v>0.135734072</v>
      </c>
      <c r="I511" s="6">
        <f t="shared" si="5"/>
        <v>0.864265928</v>
      </c>
      <c r="J511" s="1">
        <f t="shared" si="6"/>
        <v>49</v>
      </c>
      <c r="K511" s="1" t="str">
        <f t="shared" si="7"/>
        <v>Over Forecast</v>
      </c>
      <c r="L511" s="1">
        <f>F511+J510</f>
        <v>36</v>
      </c>
      <c r="M511" s="7">
        <f t="shared" si="10"/>
        <v>79.65098039</v>
      </c>
      <c r="N511" s="7">
        <f t="shared" si="8"/>
        <v>0.4519718379</v>
      </c>
      <c r="O511" s="2" t="str">
        <f t="shared" si="9"/>
        <v>Acceptable</v>
      </c>
    </row>
    <row r="512" ht="15.75" customHeight="1">
      <c r="A512" s="1" t="s">
        <v>71</v>
      </c>
      <c r="B512" s="1" t="s">
        <v>69</v>
      </c>
      <c r="C512" s="1" t="s">
        <v>23</v>
      </c>
      <c r="D512" s="1">
        <v>443.0</v>
      </c>
      <c r="E512" s="1">
        <v>482.0</v>
      </c>
      <c r="F512" s="1">
        <f t="shared" si="2"/>
        <v>39</v>
      </c>
      <c r="G512" s="1">
        <f t="shared" si="3"/>
        <v>39</v>
      </c>
      <c r="H512" s="6">
        <f t="shared" si="4"/>
        <v>0.08803611738</v>
      </c>
      <c r="I512" s="6">
        <f t="shared" si="5"/>
        <v>0.9119638826</v>
      </c>
      <c r="J512" s="1">
        <f t="shared" si="6"/>
        <v>39</v>
      </c>
      <c r="K512" s="1" t="str">
        <f t="shared" si="7"/>
        <v>Over Forecast</v>
      </c>
      <c r="L512" s="1">
        <f>F512</f>
        <v>39</v>
      </c>
      <c r="M512" s="7">
        <f t="shared" si="10"/>
        <v>79.57142857</v>
      </c>
      <c r="N512" s="7">
        <f t="shared" si="8"/>
        <v>0.4901256732</v>
      </c>
      <c r="O512" s="2" t="str">
        <f t="shared" si="9"/>
        <v>Acceptable</v>
      </c>
    </row>
    <row r="513" ht="15.75" customHeight="1">
      <c r="A513" s="1" t="s">
        <v>71</v>
      </c>
      <c r="B513" s="1" t="s">
        <v>69</v>
      </c>
      <c r="C513" s="1" t="s">
        <v>24</v>
      </c>
      <c r="D513" s="1">
        <v>422.0</v>
      </c>
      <c r="E513" s="1">
        <v>386.0</v>
      </c>
      <c r="F513" s="1">
        <f t="shared" si="2"/>
        <v>-36</v>
      </c>
      <c r="G513" s="1">
        <f t="shared" si="3"/>
        <v>36</v>
      </c>
      <c r="H513" s="6">
        <f t="shared" si="4"/>
        <v>0.08530805687</v>
      </c>
      <c r="I513" s="6">
        <f t="shared" si="5"/>
        <v>0.9146919431</v>
      </c>
      <c r="J513" s="1">
        <f t="shared" si="6"/>
        <v>-36</v>
      </c>
      <c r="K513" s="1" t="str">
        <f t="shared" si="7"/>
        <v>Under Forecast</v>
      </c>
      <c r="L513" s="1">
        <f>F513+J512</f>
        <v>3</v>
      </c>
      <c r="M513" s="7">
        <f t="shared" si="10"/>
        <v>79.48632813</v>
      </c>
      <c r="N513" s="7">
        <f t="shared" si="8"/>
        <v>0.03774233973</v>
      </c>
      <c r="O513" s="2" t="str">
        <f t="shared" si="9"/>
        <v>Acceptable</v>
      </c>
    </row>
    <row r="514" ht="15.75" customHeight="1">
      <c r="A514" s="1" t="s">
        <v>71</v>
      </c>
      <c r="B514" s="1" t="s">
        <v>69</v>
      </c>
      <c r="C514" s="1" t="s">
        <v>25</v>
      </c>
      <c r="D514" s="1">
        <v>400.0</v>
      </c>
      <c r="E514" s="1">
        <v>411.0</v>
      </c>
      <c r="F514" s="1">
        <f t="shared" si="2"/>
        <v>11</v>
      </c>
      <c r="G514" s="1">
        <f t="shared" si="3"/>
        <v>11</v>
      </c>
      <c r="H514" s="6">
        <f t="shared" si="4"/>
        <v>0.0275</v>
      </c>
      <c r="I514" s="6">
        <f t="shared" si="5"/>
        <v>0.9725</v>
      </c>
      <c r="J514" s="1">
        <f t="shared" si="6"/>
        <v>11</v>
      </c>
      <c r="K514" s="1" t="str">
        <f t="shared" si="7"/>
        <v>Over Forecast</v>
      </c>
      <c r="L514" s="1">
        <f>F514</f>
        <v>11</v>
      </c>
      <c r="M514" s="7">
        <f t="shared" si="10"/>
        <v>79.35282651</v>
      </c>
      <c r="N514" s="7">
        <f t="shared" si="8"/>
        <v>0.1386214012</v>
      </c>
      <c r="O514" s="2" t="str">
        <f t="shared" si="9"/>
        <v>Acceptable</v>
      </c>
    </row>
    <row r="515" ht="15.75" customHeight="1">
      <c r="A515" s="1" t="s">
        <v>71</v>
      </c>
      <c r="B515" s="1" t="s">
        <v>69</v>
      </c>
      <c r="C515" s="1" t="s">
        <v>26</v>
      </c>
      <c r="D515" s="1">
        <v>403.0</v>
      </c>
      <c r="E515" s="1">
        <v>374.0</v>
      </c>
      <c r="F515" s="1">
        <f t="shared" si="2"/>
        <v>-29</v>
      </c>
      <c r="G515" s="1">
        <f t="shared" si="3"/>
        <v>29</v>
      </c>
      <c r="H515" s="6">
        <f t="shared" si="4"/>
        <v>0.07196029777</v>
      </c>
      <c r="I515" s="6">
        <f t="shared" si="5"/>
        <v>0.9280397022</v>
      </c>
      <c r="J515" s="1">
        <f t="shared" si="6"/>
        <v>-29</v>
      </c>
      <c r="K515" s="1" t="str">
        <f t="shared" si="7"/>
        <v>Under Forecast</v>
      </c>
      <c r="L515" s="1">
        <f>F515+J514</f>
        <v>-18</v>
      </c>
      <c r="M515" s="7">
        <f t="shared" si="10"/>
        <v>79.25486381</v>
      </c>
      <c r="N515" s="7">
        <f t="shared" si="8"/>
        <v>-0.2271153988</v>
      </c>
      <c r="O515" s="2" t="str">
        <f t="shared" si="9"/>
        <v>Acceptable</v>
      </c>
    </row>
    <row r="516" ht="15.75" customHeight="1">
      <c r="A516" s="1" t="s">
        <v>71</v>
      </c>
      <c r="B516" s="1" t="s">
        <v>69</v>
      </c>
      <c r="C516" s="1" t="s">
        <v>27</v>
      </c>
      <c r="D516" s="1">
        <v>404.0</v>
      </c>
      <c r="E516" s="1">
        <v>402.0</v>
      </c>
      <c r="F516" s="1">
        <f t="shared" si="2"/>
        <v>-2</v>
      </c>
      <c r="G516" s="1">
        <f t="shared" si="3"/>
        <v>2</v>
      </c>
      <c r="H516" s="6">
        <f t="shared" si="4"/>
        <v>0.00495049505</v>
      </c>
      <c r="I516" s="6">
        <f t="shared" si="5"/>
        <v>0.995049505</v>
      </c>
      <c r="J516" s="1">
        <f t="shared" si="6"/>
        <v>-2</v>
      </c>
      <c r="K516" s="1" t="str">
        <f t="shared" si="7"/>
        <v>Under Forecast</v>
      </c>
      <c r="L516" s="1">
        <f>F516</f>
        <v>-2</v>
      </c>
      <c r="M516" s="7">
        <f t="shared" si="10"/>
        <v>79.10485437</v>
      </c>
      <c r="N516" s="7">
        <f t="shared" si="8"/>
        <v>-0.02528289845</v>
      </c>
      <c r="O516" s="2" t="str">
        <f t="shared" si="9"/>
        <v>Acceptable</v>
      </c>
    </row>
    <row r="517" ht="15.75" customHeight="1">
      <c r="A517" s="1" t="s">
        <v>71</v>
      </c>
      <c r="B517" s="1" t="s">
        <v>69</v>
      </c>
      <c r="C517" s="1" t="s">
        <v>28</v>
      </c>
      <c r="D517" s="1">
        <v>441.0</v>
      </c>
      <c r="E517" s="1">
        <v>493.0</v>
      </c>
      <c r="F517" s="1">
        <f t="shared" si="2"/>
        <v>52</v>
      </c>
      <c r="G517" s="1">
        <f t="shared" si="3"/>
        <v>52</v>
      </c>
      <c r="H517" s="6">
        <f t="shared" si="4"/>
        <v>0.1179138322</v>
      </c>
      <c r="I517" s="6">
        <f t="shared" si="5"/>
        <v>0.8820861678</v>
      </c>
      <c r="J517" s="1">
        <f t="shared" si="6"/>
        <v>52</v>
      </c>
      <c r="K517" s="1" t="str">
        <f t="shared" si="7"/>
        <v>Over Forecast</v>
      </c>
      <c r="L517" s="1">
        <f>F517+J516</f>
        <v>50</v>
      </c>
      <c r="M517" s="7">
        <f t="shared" si="10"/>
        <v>79.05232558</v>
      </c>
      <c r="N517" s="7">
        <f t="shared" si="8"/>
        <v>0.6324924616</v>
      </c>
      <c r="O517" s="2" t="str">
        <f t="shared" si="9"/>
        <v>Acceptable</v>
      </c>
    </row>
    <row r="518" ht="15.75" customHeight="1">
      <c r="A518" s="1" t="s">
        <v>72</v>
      </c>
      <c r="B518" s="1" t="s">
        <v>69</v>
      </c>
      <c r="C518" s="1" t="s">
        <v>17</v>
      </c>
      <c r="D518" s="1">
        <v>471.0</v>
      </c>
      <c r="E518" s="1">
        <v>452.0</v>
      </c>
      <c r="F518" s="1">
        <f t="shared" si="2"/>
        <v>-19</v>
      </c>
      <c r="G518" s="1">
        <f t="shared" si="3"/>
        <v>19</v>
      </c>
      <c r="H518" s="6">
        <f t="shared" si="4"/>
        <v>0.04033970276</v>
      </c>
      <c r="I518" s="6">
        <f t="shared" si="5"/>
        <v>0.9596602972</v>
      </c>
      <c r="J518" s="1">
        <f t="shared" si="6"/>
        <v>-19</v>
      </c>
      <c r="K518" s="1" t="str">
        <f t="shared" si="7"/>
        <v>Under Forecast</v>
      </c>
      <c r="L518" s="1">
        <f>F518</f>
        <v>-19</v>
      </c>
      <c r="M518" s="7">
        <f t="shared" si="10"/>
        <v>78.93617021</v>
      </c>
      <c r="N518" s="7">
        <f t="shared" si="8"/>
        <v>-0.2407008086</v>
      </c>
      <c r="O518" s="2" t="str">
        <f t="shared" si="9"/>
        <v>Acceptable</v>
      </c>
    </row>
    <row r="519" ht="15.75" customHeight="1">
      <c r="A519" s="1" t="s">
        <v>72</v>
      </c>
      <c r="B519" s="1" t="s">
        <v>69</v>
      </c>
      <c r="C519" s="1" t="s">
        <v>18</v>
      </c>
      <c r="D519" s="1">
        <v>523.0</v>
      </c>
      <c r="E519" s="1">
        <v>509.0</v>
      </c>
      <c r="F519" s="1">
        <f t="shared" si="2"/>
        <v>-14</v>
      </c>
      <c r="G519" s="1">
        <f t="shared" si="3"/>
        <v>14</v>
      </c>
      <c r="H519" s="6">
        <f t="shared" si="4"/>
        <v>0.02676864245</v>
      </c>
      <c r="I519" s="6">
        <f t="shared" si="5"/>
        <v>0.9732313576</v>
      </c>
      <c r="J519" s="1">
        <f t="shared" si="6"/>
        <v>-14</v>
      </c>
      <c r="K519" s="1" t="str">
        <f t="shared" si="7"/>
        <v>Under Forecast</v>
      </c>
      <c r="L519" s="1">
        <f>F519+J518</f>
        <v>-33</v>
      </c>
      <c r="M519" s="7">
        <f t="shared" si="10"/>
        <v>78.81081081</v>
      </c>
      <c r="N519" s="7">
        <f t="shared" si="8"/>
        <v>-0.4187242798</v>
      </c>
      <c r="O519" s="2" t="str">
        <f t="shared" si="9"/>
        <v>Acceptable</v>
      </c>
    </row>
    <row r="520" ht="15.75" customHeight="1">
      <c r="A520" s="1" t="s">
        <v>72</v>
      </c>
      <c r="B520" s="1" t="s">
        <v>69</v>
      </c>
      <c r="C520" s="1" t="s">
        <v>19</v>
      </c>
      <c r="D520" s="1">
        <v>491.0</v>
      </c>
      <c r="E520" s="1">
        <v>522.0</v>
      </c>
      <c r="F520" s="1">
        <f t="shared" si="2"/>
        <v>31</v>
      </c>
      <c r="G520" s="1">
        <f t="shared" si="3"/>
        <v>31</v>
      </c>
      <c r="H520" s="6">
        <f t="shared" si="4"/>
        <v>0.06313645621</v>
      </c>
      <c r="I520" s="6">
        <f t="shared" si="5"/>
        <v>0.9368635438</v>
      </c>
      <c r="J520" s="1">
        <f t="shared" si="6"/>
        <v>31</v>
      </c>
      <c r="K520" s="1" t="str">
        <f t="shared" si="7"/>
        <v>Over Forecast</v>
      </c>
      <c r="L520" s="1">
        <f>F520</f>
        <v>31</v>
      </c>
      <c r="M520" s="7">
        <f t="shared" si="10"/>
        <v>78.71868979</v>
      </c>
      <c r="N520" s="7">
        <f t="shared" si="8"/>
        <v>0.3938073675</v>
      </c>
      <c r="O520" s="2" t="str">
        <f t="shared" si="9"/>
        <v>Acceptable</v>
      </c>
    </row>
    <row r="521" ht="15.75" customHeight="1">
      <c r="A521" s="1" t="s">
        <v>72</v>
      </c>
      <c r="B521" s="1" t="s">
        <v>69</v>
      </c>
      <c r="C521" s="1" t="s">
        <v>20</v>
      </c>
      <c r="D521" s="1">
        <v>524.0</v>
      </c>
      <c r="E521" s="1">
        <v>439.0</v>
      </c>
      <c r="F521" s="1">
        <f t="shared" si="2"/>
        <v>-85</v>
      </c>
      <c r="G521" s="1">
        <f t="shared" si="3"/>
        <v>85</v>
      </c>
      <c r="H521" s="6">
        <f t="shared" si="4"/>
        <v>0.1622137405</v>
      </c>
      <c r="I521" s="6">
        <f t="shared" si="5"/>
        <v>0.8377862595</v>
      </c>
      <c r="J521" s="1">
        <f t="shared" si="6"/>
        <v>-85</v>
      </c>
      <c r="K521" s="1" t="str">
        <f t="shared" si="7"/>
        <v>Under Forecast</v>
      </c>
      <c r="L521" s="1">
        <f>F521+J520</f>
        <v>-54</v>
      </c>
      <c r="M521" s="7">
        <f t="shared" si="10"/>
        <v>78.73076923</v>
      </c>
      <c r="N521" s="7">
        <f t="shared" si="8"/>
        <v>-0.6858817782</v>
      </c>
      <c r="O521" s="2" t="str">
        <f t="shared" si="9"/>
        <v>Acceptable</v>
      </c>
    </row>
    <row r="522" ht="15.75" customHeight="1">
      <c r="A522" s="1" t="s">
        <v>72</v>
      </c>
      <c r="B522" s="1" t="s">
        <v>69</v>
      </c>
      <c r="C522" s="1" t="s">
        <v>21</v>
      </c>
      <c r="D522" s="1">
        <v>609.0</v>
      </c>
      <c r="E522" s="1">
        <v>661.0</v>
      </c>
      <c r="F522" s="1">
        <f t="shared" si="2"/>
        <v>52</v>
      </c>
      <c r="G522" s="1">
        <f t="shared" si="3"/>
        <v>52</v>
      </c>
      <c r="H522" s="6">
        <f t="shared" si="4"/>
        <v>0.08538587849</v>
      </c>
      <c r="I522" s="6">
        <f t="shared" si="5"/>
        <v>0.9146141215</v>
      </c>
      <c r="J522" s="1">
        <f t="shared" si="6"/>
        <v>52</v>
      </c>
      <c r="K522" s="1" t="str">
        <f t="shared" si="7"/>
        <v>Over Forecast</v>
      </c>
      <c r="L522" s="1">
        <f>F522</f>
        <v>52</v>
      </c>
      <c r="M522" s="7">
        <f t="shared" si="10"/>
        <v>78.67946257</v>
      </c>
      <c r="N522" s="7">
        <f t="shared" si="8"/>
        <v>0.6609094457</v>
      </c>
      <c r="O522" s="2" t="str">
        <f t="shared" si="9"/>
        <v>Acceptable</v>
      </c>
    </row>
    <row r="523" ht="15.75" customHeight="1">
      <c r="A523" s="1" t="s">
        <v>72</v>
      </c>
      <c r="B523" s="1" t="s">
        <v>69</v>
      </c>
      <c r="C523" s="1" t="s">
        <v>22</v>
      </c>
      <c r="D523" s="1">
        <v>616.0</v>
      </c>
      <c r="E523" s="1">
        <v>642.0</v>
      </c>
      <c r="F523" s="1">
        <f t="shared" si="2"/>
        <v>26</v>
      </c>
      <c r="G523" s="1">
        <f t="shared" si="3"/>
        <v>26</v>
      </c>
      <c r="H523" s="6">
        <f t="shared" si="4"/>
        <v>0.04220779221</v>
      </c>
      <c r="I523" s="6">
        <f t="shared" si="5"/>
        <v>0.9577922078</v>
      </c>
      <c r="J523" s="1">
        <f t="shared" si="6"/>
        <v>26</v>
      </c>
      <c r="K523" s="1" t="str">
        <f t="shared" si="7"/>
        <v>Over Forecast</v>
      </c>
      <c r="L523" s="1">
        <f>F523+J522</f>
        <v>78</v>
      </c>
      <c r="M523" s="7">
        <f t="shared" si="10"/>
        <v>78.57854406</v>
      </c>
      <c r="N523" s="7">
        <f t="shared" si="8"/>
        <v>0.9926373787</v>
      </c>
      <c r="O523" s="2" t="str">
        <f t="shared" si="9"/>
        <v>Acceptable</v>
      </c>
    </row>
    <row r="524" ht="15.75" customHeight="1">
      <c r="A524" s="1" t="s">
        <v>72</v>
      </c>
      <c r="B524" s="1" t="s">
        <v>69</v>
      </c>
      <c r="C524" s="1" t="s">
        <v>23</v>
      </c>
      <c r="D524" s="1">
        <v>603.0</v>
      </c>
      <c r="E524" s="1">
        <v>582.0</v>
      </c>
      <c r="F524" s="1">
        <f t="shared" si="2"/>
        <v>-21</v>
      </c>
      <c r="G524" s="1">
        <f t="shared" si="3"/>
        <v>21</v>
      </c>
      <c r="H524" s="6">
        <f t="shared" si="4"/>
        <v>0.03482587065</v>
      </c>
      <c r="I524" s="6">
        <f t="shared" si="5"/>
        <v>0.9651741294</v>
      </c>
      <c r="J524" s="1">
        <f t="shared" si="6"/>
        <v>-21</v>
      </c>
      <c r="K524" s="1" t="str">
        <f t="shared" si="7"/>
        <v>Under Forecast</v>
      </c>
      <c r="L524" s="1">
        <f>F524</f>
        <v>-21</v>
      </c>
      <c r="M524" s="7">
        <f t="shared" si="10"/>
        <v>78.46845124</v>
      </c>
      <c r="N524" s="7">
        <f t="shared" si="8"/>
        <v>-0.2676234801</v>
      </c>
      <c r="O524" s="2" t="str">
        <f t="shared" si="9"/>
        <v>Acceptable</v>
      </c>
    </row>
    <row r="525" ht="15.75" customHeight="1">
      <c r="A525" s="1" t="s">
        <v>72</v>
      </c>
      <c r="B525" s="1" t="s">
        <v>69</v>
      </c>
      <c r="C525" s="1" t="s">
        <v>24</v>
      </c>
      <c r="D525" s="1">
        <v>516.0</v>
      </c>
      <c r="E525" s="1">
        <v>476.0</v>
      </c>
      <c r="F525" s="1">
        <f t="shared" si="2"/>
        <v>-40</v>
      </c>
      <c r="G525" s="1">
        <f t="shared" si="3"/>
        <v>40</v>
      </c>
      <c r="H525" s="6">
        <f t="shared" si="4"/>
        <v>0.07751937984</v>
      </c>
      <c r="I525" s="6">
        <f t="shared" si="5"/>
        <v>0.9224806202</v>
      </c>
      <c r="J525" s="1">
        <f t="shared" si="6"/>
        <v>-40</v>
      </c>
      <c r="K525" s="1" t="str">
        <f t="shared" si="7"/>
        <v>Under Forecast</v>
      </c>
      <c r="L525" s="1">
        <f>F525+J524</f>
        <v>-61</v>
      </c>
      <c r="M525" s="7">
        <f t="shared" si="10"/>
        <v>78.39503817</v>
      </c>
      <c r="N525" s="7">
        <f t="shared" si="8"/>
        <v>-0.7781104701</v>
      </c>
      <c r="O525" s="2" t="str">
        <f t="shared" si="9"/>
        <v>Acceptable</v>
      </c>
    </row>
    <row r="526" ht="15.75" customHeight="1">
      <c r="A526" s="1" t="s">
        <v>72</v>
      </c>
      <c r="B526" s="1" t="s">
        <v>69</v>
      </c>
      <c r="C526" s="1" t="s">
        <v>25</v>
      </c>
      <c r="D526" s="1">
        <v>518.0</v>
      </c>
      <c r="E526" s="1">
        <v>454.0</v>
      </c>
      <c r="F526" s="1">
        <f t="shared" si="2"/>
        <v>-64</v>
      </c>
      <c r="G526" s="1">
        <f t="shared" si="3"/>
        <v>64</v>
      </c>
      <c r="H526" s="6">
        <f t="shared" si="4"/>
        <v>0.1235521236</v>
      </c>
      <c r="I526" s="6">
        <f t="shared" si="5"/>
        <v>0.8764478764</v>
      </c>
      <c r="J526" s="1">
        <f t="shared" si="6"/>
        <v>-64</v>
      </c>
      <c r="K526" s="1" t="str">
        <f t="shared" si="7"/>
        <v>Under Forecast</v>
      </c>
      <c r="L526" s="1">
        <f>F526</f>
        <v>-64</v>
      </c>
      <c r="M526" s="7">
        <f t="shared" si="10"/>
        <v>78.36761905</v>
      </c>
      <c r="N526" s="7">
        <f t="shared" si="8"/>
        <v>-0.816663831</v>
      </c>
      <c r="O526" s="2" t="str">
        <f t="shared" si="9"/>
        <v>Acceptable</v>
      </c>
    </row>
    <row r="527" ht="15.75" customHeight="1">
      <c r="A527" s="1" t="s">
        <v>72</v>
      </c>
      <c r="B527" s="1" t="s">
        <v>69</v>
      </c>
      <c r="C527" s="1" t="s">
        <v>26</v>
      </c>
      <c r="D527" s="1">
        <v>543.0</v>
      </c>
      <c r="E527" s="1">
        <v>515.0</v>
      </c>
      <c r="F527" s="1">
        <f t="shared" si="2"/>
        <v>-28</v>
      </c>
      <c r="G527" s="1">
        <f t="shared" si="3"/>
        <v>28</v>
      </c>
      <c r="H527" s="6">
        <f t="shared" si="4"/>
        <v>0.05156537753</v>
      </c>
      <c r="I527" s="6">
        <f t="shared" si="5"/>
        <v>0.9484346225</v>
      </c>
      <c r="J527" s="1">
        <f t="shared" si="6"/>
        <v>-28</v>
      </c>
      <c r="K527" s="1" t="str">
        <f t="shared" si="7"/>
        <v>Under Forecast</v>
      </c>
      <c r="L527" s="1">
        <f>F527+J526</f>
        <v>-92</v>
      </c>
      <c r="M527" s="7">
        <f t="shared" si="10"/>
        <v>78.27186312</v>
      </c>
      <c r="N527" s="7">
        <f t="shared" si="8"/>
        <v>-1.175390445</v>
      </c>
      <c r="O527" s="2" t="str">
        <f t="shared" si="9"/>
        <v>Acceptable</v>
      </c>
    </row>
    <row r="528" ht="15.75" customHeight="1">
      <c r="A528" s="1" t="s">
        <v>72</v>
      </c>
      <c r="B528" s="1" t="s">
        <v>69</v>
      </c>
      <c r="C528" s="1" t="s">
        <v>27</v>
      </c>
      <c r="D528" s="1">
        <v>467.0</v>
      </c>
      <c r="E528" s="1">
        <v>404.0</v>
      </c>
      <c r="F528" s="1">
        <f t="shared" si="2"/>
        <v>-63</v>
      </c>
      <c r="G528" s="1">
        <f t="shared" si="3"/>
        <v>63</v>
      </c>
      <c r="H528" s="6">
        <f t="shared" si="4"/>
        <v>0.1349036403</v>
      </c>
      <c r="I528" s="6">
        <f t="shared" si="5"/>
        <v>0.8650963597</v>
      </c>
      <c r="J528" s="1">
        <f t="shared" si="6"/>
        <v>-63</v>
      </c>
      <c r="K528" s="1" t="str">
        <f t="shared" si="7"/>
        <v>Under Forecast</v>
      </c>
      <c r="L528" s="1">
        <f>F528</f>
        <v>-63</v>
      </c>
      <c r="M528" s="7">
        <f t="shared" si="10"/>
        <v>78.24288425</v>
      </c>
      <c r="N528" s="7">
        <f t="shared" si="8"/>
        <v>-0.8051850415</v>
      </c>
      <c r="O528" s="2" t="str">
        <f t="shared" si="9"/>
        <v>Acceptable</v>
      </c>
    </row>
    <row r="529" ht="15.75" customHeight="1">
      <c r="A529" s="1" t="s">
        <v>72</v>
      </c>
      <c r="B529" s="1" t="s">
        <v>69</v>
      </c>
      <c r="C529" s="1" t="s">
        <v>28</v>
      </c>
      <c r="D529" s="1">
        <v>511.0</v>
      </c>
      <c r="E529" s="1">
        <v>420.0</v>
      </c>
      <c r="F529" s="1">
        <f t="shared" si="2"/>
        <v>-91</v>
      </c>
      <c r="G529" s="1">
        <f t="shared" si="3"/>
        <v>91</v>
      </c>
      <c r="H529" s="6">
        <f t="shared" si="4"/>
        <v>0.1780821918</v>
      </c>
      <c r="I529" s="6">
        <f t="shared" si="5"/>
        <v>0.8219178082</v>
      </c>
      <c r="J529" s="1">
        <f t="shared" si="6"/>
        <v>-91</v>
      </c>
      <c r="K529" s="1" t="str">
        <f t="shared" si="7"/>
        <v>Under Forecast</v>
      </c>
      <c r="L529" s="1">
        <f>F529+J528</f>
        <v>-154</v>
      </c>
      <c r="M529" s="7">
        <f t="shared" si="10"/>
        <v>78.26704545</v>
      </c>
      <c r="N529" s="7">
        <f t="shared" si="8"/>
        <v>-1.967622505</v>
      </c>
      <c r="O529" s="2" t="str">
        <f t="shared" si="9"/>
        <v>Acceptable</v>
      </c>
    </row>
    <row r="530" ht="15.75" customHeight="1">
      <c r="A530" s="1" t="s">
        <v>73</v>
      </c>
      <c r="B530" s="1" t="s">
        <v>69</v>
      </c>
      <c r="C530" s="1" t="s">
        <v>17</v>
      </c>
      <c r="D530" s="1">
        <v>385.0</v>
      </c>
      <c r="E530" s="1">
        <v>398.0</v>
      </c>
      <c r="F530" s="1">
        <f t="shared" si="2"/>
        <v>13</v>
      </c>
      <c r="G530" s="1">
        <f t="shared" si="3"/>
        <v>13</v>
      </c>
      <c r="H530" s="6">
        <f t="shared" si="4"/>
        <v>0.03376623377</v>
      </c>
      <c r="I530" s="6">
        <f t="shared" si="5"/>
        <v>0.9662337662</v>
      </c>
      <c r="J530" s="1">
        <f t="shared" si="6"/>
        <v>13</v>
      </c>
      <c r="K530" s="1" t="str">
        <f t="shared" si="7"/>
        <v>Over Forecast</v>
      </c>
      <c r="L530" s="1">
        <f>F530</f>
        <v>13</v>
      </c>
      <c r="M530" s="7">
        <f t="shared" si="10"/>
        <v>78.1436673</v>
      </c>
      <c r="N530" s="7">
        <f t="shared" si="8"/>
        <v>0.1663602496</v>
      </c>
      <c r="O530" s="2" t="str">
        <f t="shared" si="9"/>
        <v>Acceptable</v>
      </c>
    </row>
    <row r="531" ht="15.75" customHeight="1">
      <c r="A531" s="1" t="s">
        <v>73</v>
      </c>
      <c r="B531" s="1" t="s">
        <v>69</v>
      </c>
      <c r="C531" s="1" t="s">
        <v>18</v>
      </c>
      <c r="D531" s="1">
        <v>396.0</v>
      </c>
      <c r="E531" s="1">
        <v>416.0</v>
      </c>
      <c r="F531" s="1">
        <f t="shared" si="2"/>
        <v>20</v>
      </c>
      <c r="G531" s="1">
        <f t="shared" si="3"/>
        <v>20</v>
      </c>
      <c r="H531" s="6">
        <f t="shared" si="4"/>
        <v>0.05050505051</v>
      </c>
      <c r="I531" s="6">
        <f t="shared" si="5"/>
        <v>0.9494949495</v>
      </c>
      <c r="J531" s="1">
        <f t="shared" si="6"/>
        <v>20</v>
      </c>
      <c r="K531" s="1" t="str">
        <f t="shared" si="7"/>
        <v>Over Forecast</v>
      </c>
      <c r="L531" s="1">
        <f>F531+J530</f>
        <v>33</v>
      </c>
      <c r="M531" s="7">
        <f t="shared" si="10"/>
        <v>78.03396226</v>
      </c>
      <c r="N531" s="7">
        <f t="shared" si="8"/>
        <v>0.4228927898</v>
      </c>
      <c r="O531" s="2" t="str">
        <f t="shared" si="9"/>
        <v>Acceptable</v>
      </c>
    </row>
    <row r="532" ht="15.75" customHeight="1">
      <c r="A532" s="1" t="s">
        <v>73</v>
      </c>
      <c r="B532" s="1" t="s">
        <v>69</v>
      </c>
      <c r="C532" s="1" t="s">
        <v>19</v>
      </c>
      <c r="D532" s="1">
        <v>391.0</v>
      </c>
      <c r="E532" s="1">
        <v>407.0</v>
      </c>
      <c r="F532" s="1">
        <f t="shared" si="2"/>
        <v>16</v>
      </c>
      <c r="G532" s="1">
        <f t="shared" si="3"/>
        <v>16</v>
      </c>
      <c r="H532" s="6">
        <f t="shared" si="4"/>
        <v>0.04092071611</v>
      </c>
      <c r="I532" s="6">
        <f t="shared" si="5"/>
        <v>0.9590792839</v>
      </c>
      <c r="J532" s="1">
        <f t="shared" si="6"/>
        <v>16</v>
      </c>
      <c r="K532" s="1" t="str">
        <f t="shared" si="7"/>
        <v>Over Forecast</v>
      </c>
      <c r="L532" s="1">
        <f>F532</f>
        <v>16</v>
      </c>
      <c r="M532" s="7">
        <f t="shared" si="10"/>
        <v>77.91713748</v>
      </c>
      <c r="N532" s="7">
        <f t="shared" si="8"/>
        <v>0.2053463528</v>
      </c>
      <c r="O532" s="2" t="str">
        <f t="shared" si="9"/>
        <v>Acceptable</v>
      </c>
    </row>
    <row r="533" ht="15.75" customHeight="1">
      <c r="A533" s="1" t="s">
        <v>73</v>
      </c>
      <c r="B533" s="1" t="s">
        <v>69</v>
      </c>
      <c r="C533" s="1" t="s">
        <v>20</v>
      </c>
      <c r="D533" s="1">
        <v>415.0</v>
      </c>
      <c r="E533" s="1">
        <v>456.0</v>
      </c>
      <c r="F533" s="1">
        <f t="shared" si="2"/>
        <v>41</v>
      </c>
      <c r="G533" s="1">
        <f t="shared" si="3"/>
        <v>41</v>
      </c>
      <c r="H533" s="6">
        <f t="shared" si="4"/>
        <v>0.09879518072</v>
      </c>
      <c r="I533" s="6">
        <f t="shared" si="5"/>
        <v>0.9012048193</v>
      </c>
      <c r="J533" s="1">
        <f t="shared" si="6"/>
        <v>41</v>
      </c>
      <c r="K533" s="1" t="str">
        <f t="shared" si="7"/>
        <v>Over Forecast</v>
      </c>
      <c r="L533" s="1">
        <f>F533+J532</f>
        <v>57</v>
      </c>
      <c r="M533" s="7">
        <f t="shared" si="10"/>
        <v>77.84774436</v>
      </c>
      <c r="N533" s="7">
        <f t="shared" si="8"/>
        <v>0.7321984788</v>
      </c>
      <c r="O533" s="2" t="str">
        <f t="shared" si="9"/>
        <v>Acceptable</v>
      </c>
    </row>
    <row r="534" ht="15.75" customHeight="1">
      <c r="A534" s="1" t="s">
        <v>73</v>
      </c>
      <c r="B534" s="1" t="s">
        <v>69</v>
      </c>
      <c r="C534" s="1" t="s">
        <v>21</v>
      </c>
      <c r="D534" s="1">
        <v>396.0</v>
      </c>
      <c r="E534" s="1">
        <v>451.0</v>
      </c>
      <c r="F534" s="1">
        <f t="shared" si="2"/>
        <v>55</v>
      </c>
      <c r="G534" s="1">
        <f t="shared" si="3"/>
        <v>55</v>
      </c>
      <c r="H534" s="6">
        <f t="shared" si="4"/>
        <v>0.1388888889</v>
      </c>
      <c r="I534" s="6">
        <f t="shared" si="5"/>
        <v>0.8611111111</v>
      </c>
      <c r="J534" s="1">
        <f t="shared" si="6"/>
        <v>55</v>
      </c>
      <c r="K534" s="1" t="str">
        <f t="shared" si="7"/>
        <v>Over Forecast</v>
      </c>
      <c r="L534" s="1">
        <f>F534</f>
        <v>55</v>
      </c>
      <c r="M534" s="7">
        <f t="shared" si="10"/>
        <v>77.80487805</v>
      </c>
      <c r="N534" s="7">
        <f t="shared" si="8"/>
        <v>0.7068965517</v>
      </c>
      <c r="O534" s="2" t="str">
        <f t="shared" si="9"/>
        <v>Acceptable</v>
      </c>
    </row>
    <row r="535" ht="15.75" customHeight="1">
      <c r="A535" s="1" t="s">
        <v>73</v>
      </c>
      <c r="B535" s="1" t="s">
        <v>69</v>
      </c>
      <c r="C535" s="1" t="s">
        <v>22</v>
      </c>
      <c r="D535" s="1">
        <v>379.0</v>
      </c>
      <c r="E535" s="1">
        <v>351.0</v>
      </c>
      <c r="F535" s="1">
        <f t="shared" si="2"/>
        <v>-28</v>
      </c>
      <c r="G535" s="1">
        <f t="shared" si="3"/>
        <v>28</v>
      </c>
      <c r="H535" s="6">
        <f t="shared" si="4"/>
        <v>0.07387862797</v>
      </c>
      <c r="I535" s="6">
        <f t="shared" si="5"/>
        <v>0.926121372</v>
      </c>
      <c r="J535" s="1">
        <f t="shared" si="6"/>
        <v>-28</v>
      </c>
      <c r="K535" s="1" t="str">
        <f t="shared" si="7"/>
        <v>Under Forecast</v>
      </c>
      <c r="L535" s="1">
        <f>F535+J534</f>
        <v>27</v>
      </c>
      <c r="M535" s="7">
        <f t="shared" si="10"/>
        <v>77.71161049</v>
      </c>
      <c r="N535" s="7">
        <f t="shared" si="8"/>
        <v>0.3474384308</v>
      </c>
      <c r="O535" s="2" t="str">
        <f t="shared" si="9"/>
        <v>Acceptable</v>
      </c>
    </row>
    <row r="536" ht="15.75" customHeight="1">
      <c r="A536" s="1" t="s">
        <v>73</v>
      </c>
      <c r="B536" s="1" t="s">
        <v>69</v>
      </c>
      <c r="C536" s="1" t="s">
        <v>23</v>
      </c>
      <c r="D536" s="1">
        <v>376.0</v>
      </c>
      <c r="E536" s="1">
        <v>368.0</v>
      </c>
      <c r="F536" s="1">
        <f t="shared" si="2"/>
        <v>-8</v>
      </c>
      <c r="G536" s="1">
        <f t="shared" si="3"/>
        <v>8</v>
      </c>
      <c r="H536" s="6">
        <f t="shared" si="4"/>
        <v>0.02127659574</v>
      </c>
      <c r="I536" s="6">
        <f t="shared" si="5"/>
        <v>0.9787234043</v>
      </c>
      <c r="J536" s="1">
        <f t="shared" si="6"/>
        <v>-8</v>
      </c>
      <c r="K536" s="1" t="str">
        <f t="shared" si="7"/>
        <v>Under Forecast</v>
      </c>
      <c r="L536" s="1">
        <f>F536</f>
        <v>-8</v>
      </c>
      <c r="M536" s="7">
        <f t="shared" si="10"/>
        <v>77.58130841</v>
      </c>
      <c r="N536" s="7">
        <f t="shared" si="8"/>
        <v>-0.1031176215</v>
      </c>
      <c r="O536" s="2" t="str">
        <f t="shared" si="9"/>
        <v>Acceptable</v>
      </c>
    </row>
    <row r="537" ht="15.75" customHeight="1">
      <c r="A537" s="1" t="s">
        <v>73</v>
      </c>
      <c r="B537" s="1" t="s">
        <v>69</v>
      </c>
      <c r="C537" s="1" t="s">
        <v>24</v>
      </c>
      <c r="D537" s="1">
        <v>366.0</v>
      </c>
      <c r="E537" s="1">
        <v>424.0</v>
      </c>
      <c r="F537" s="1">
        <f t="shared" si="2"/>
        <v>58</v>
      </c>
      <c r="G537" s="1">
        <f t="shared" si="3"/>
        <v>58</v>
      </c>
      <c r="H537" s="6">
        <f t="shared" si="4"/>
        <v>0.1584699454</v>
      </c>
      <c r="I537" s="6">
        <f t="shared" si="5"/>
        <v>0.8415300546</v>
      </c>
      <c r="J537" s="1">
        <f t="shared" si="6"/>
        <v>58</v>
      </c>
      <c r="K537" s="1" t="str">
        <f t="shared" si="7"/>
        <v>Over Forecast</v>
      </c>
      <c r="L537" s="1">
        <f>F537+J536</f>
        <v>50</v>
      </c>
      <c r="M537" s="7">
        <f t="shared" si="10"/>
        <v>77.54477612</v>
      </c>
      <c r="N537" s="7">
        <f t="shared" si="8"/>
        <v>0.6447887595</v>
      </c>
      <c r="O537" s="2" t="str">
        <f t="shared" si="9"/>
        <v>Acceptable</v>
      </c>
    </row>
    <row r="538" ht="15.75" customHeight="1">
      <c r="A538" s="1" t="s">
        <v>73</v>
      </c>
      <c r="B538" s="1" t="s">
        <v>69</v>
      </c>
      <c r="C538" s="1" t="s">
        <v>25</v>
      </c>
      <c r="D538" s="1">
        <v>333.0</v>
      </c>
      <c r="E538" s="1">
        <v>362.0</v>
      </c>
      <c r="F538" s="1">
        <f t="shared" si="2"/>
        <v>29</v>
      </c>
      <c r="G538" s="1">
        <f t="shared" si="3"/>
        <v>29</v>
      </c>
      <c r="H538" s="6">
        <f t="shared" si="4"/>
        <v>0.08708708709</v>
      </c>
      <c r="I538" s="6">
        <f t="shared" si="5"/>
        <v>0.9129129129</v>
      </c>
      <c r="J538" s="1">
        <f t="shared" si="6"/>
        <v>29</v>
      </c>
      <c r="K538" s="1" t="str">
        <f t="shared" si="7"/>
        <v>Over Forecast</v>
      </c>
      <c r="L538" s="1">
        <f>F538</f>
        <v>29</v>
      </c>
      <c r="M538" s="7">
        <f t="shared" si="10"/>
        <v>77.45437616</v>
      </c>
      <c r="N538" s="7">
        <f t="shared" si="8"/>
        <v>0.3744139639</v>
      </c>
      <c r="O538" s="2" t="str">
        <f t="shared" si="9"/>
        <v>Acceptable</v>
      </c>
    </row>
    <row r="539" ht="15.75" customHeight="1">
      <c r="A539" s="1" t="s">
        <v>73</v>
      </c>
      <c r="B539" s="1" t="s">
        <v>69</v>
      </c>
      <c r="C539" s="1" t="s">
        <v>26</v>
      </c>
      <c r="D539" s="1">
        <v>330.0</v>
      </c>
      <c r="E539" s="1">
        <v>377.0</v>
      </c>
      <c r="F539" s="1">
        <f t="shared" si="2"/>
        <v>47</v>
      </c>
      <c r="G539" s="1">
        <f t="shared" si="3"/>
        <v>47</v>
      </c>
      <c r="H539" s="6">
        <f t="shared" si="4"/>
        <v>0.1424242424</v>
      </c>
      <c r="I539" s="6">
        <f t="shared" si="5"/>
        <v>0.8575757576</v>
      </c>
      <c r="J539" s="1">
        <f t="shared" si="6"/>
        <v>47</v>
      </c>
      <c r="K539" s="1" t="str">
        <f t="shared" si="7"/>
        <v>Over Forecast</v>
      </c>
      <c r="L539" s="1">
        <f>F539+J538</f>
        <v>76</v>
      </c>
      <c r="M539" s="7">
        <f t="shared" si="10"/>
        <v>77.39776952</v>
      </c>
      <c r="N539" s="7">
        <f t="shared" si="8"/>
        <v>0.9819404419</v>
      </c>
      <c r="O539" s="2" t="str">
        <f t="shared" si="9"/>
        <v>Acceptable</v>
      </c>
    </row>
    <row r="540" ht="15.75" customHeight="1">
      <c r="A540" s="1" t="s">
        <v>73</v>
      </c>
      <c r="B540" s="1" t="s">
        <v>69</v>
      </c>
      <c r="C540" s="1" t="s">
        <v>27</v>
      </c>
      <c r="D540" s="1">
        <v>374.0</v>
      </c>
      <c r="E540" s="1">
        <v>381.0</v>
      </c>
      <c r="F540" s="1">
        <f t="shared" si="2"/>
        <v>7</v>
      </c>
      <c r="G540" s="1">
        <f t="shared" si="3"/>
        <v>7</v>
      </c>
      <c r="H540" s="6">
        <f t="shared" si="4"/>
        <v>0.01871657754</v>
      </c>
      <c r="I540" s="6">
        <f t="shared" si="5"/>
        <v>0.9812834225</v>
      </c>
      <c r="J540" s="1">
        <f t="shared" si="6"/>
        <v>7</v>
      </c>
      <c r="K540" s="1" t="str">
        <f t="shared" si="7"/>
        <v>Over Forecast</v>
      </c>
      <c r="L540" s="1">
        <f>F540</f>
        <v>7</v>
      </c>
      <c r="M540" s="7">
        <f t="shared" si="10"/>
        <v>77.26716141</v>
      </c>
      <c r="N540" s="7">
        <f t="shared" si="8"/>
        <v>0.09059476073</v>
      </c>
      <c r="O540" s="2" t="str">
        <f t="shared" si="9"/>
        <v>Acceptable</v>
      </c>
    </row>
    <row r="541" ht="15.75" customHeight="1">
      <c r="A541" s="1" t="s">
        <v>73</v>
      </c>
      <c r="B541" s="1" t="s">
        <v>69</v>
      </c>
      <c r="C541" s="1" t="s">
        <v>28</v>
      </c>
      <c r="D541" s="1">
        <v>354.0</v>
      </c>
      <c r="E541" s="1">
        <v>312.0</v>
      </c>
      <c r="F541" s="1">
        <f t="shared" si="2"/>
        <v>-42</v>
      </c>
      <c r="G541" s="1">
        <f t="shared" si="3"/>
        <v>42</v>
      </c>
      <c r="H541" s="6">
        <f t="shared" si="4"/>
        <v>0.1186440678</v>
      </c>
      <c r="I541" s="6">
        <f t="shared" si="5"/>
        <v>0.8813559322</v>
      </c>
      <c r="J541" s="1">
        <f t="shared" si="6"/>
        <v>-42</v>
      </c>
      <c r="K541" s="1" t="str">
        <f t="shared" si="7"/>
        <v>Under Forecast</v>
      </c>
      <c r="L541" s="1">
        <f>F541+J540</f>
        <v>-35</v>
      </c>
      <c r="M541" s="7">
        <f t="shared" si="10"/>
        <v>77.20185185</v>
      </c>
      <c r="N541" s="7">
        <f t="shared" si="8"/>
        <v>-0.4533570006</v>
      </c>
      <c r="O541" s="2" t="str">
        <f t="shared" si="9"/>
        <v>Acceptable</v>
      </c>
    </row>
    <row r="542" ht="15.75" customHeight="1">
      <c r="A542" s="1" t="s">
        <v>74</v>
      </c>
      <c r="B542" s="1" t="s">
        <v>69</v>
      </c>
      <c r="C542" s="1" t="s">
        <v>17</v>
      </c>
      <c r="D542" s="1">
        <v>458.0</v>
      </c>
      <c r="E542" s="1">
        <v>434.0</v>
      </c>
      <c r="F542" s="1">
        <f t="shared" si="2"/>
        <v>-24</v>
      </c>
      <c r="G542" s="1">
        <f t="shared" si="3"/>
        <v>24</v>
      </c>
      <c r="H542" s="6">
        <f t="shared" si="4"/>
        <v>0.05240174672</v>
      </c>
      <c r="I542" s="6">
        <f t="shared" si="5"/>
        <v>0.9475982533</v>
      </c>
      <c r="J542" s="1">
        <f t="shared" si="6"/>
        <v>-24</v>
      </c>
      <c r="K542" s="1" t="str">
        <f t="shared" si="7"/>
        <v>Under Forecast</v>
      </c>
      <c r="L542" s="1">
        <f>F542</f>
        <v>-24</v>
      </c>
      <c r="M542" s="7">
        <f t="shared" si="10"/>
        <v>77.10351201</v>
      </c>
      <c r="N542" s="7">
        <f t="shared" si="8"/>
        <v>-0.3112698679</v>
      </c>
      <c r="O542" s="2" t="str">
        <f t="shared" si="9"/>
        <v>Acceptable</v>
      </c>
    </row>
    <row r="543" ht="15.75" customHeight="1">
      <c r="A543" s="1" t="s">
        <v>74</v>
      </c>
      <c r="B543" s="1" t="s">
        <v>69</v>
      </c>
      <c r="C543" s="1" t="s">
        <v>18</v>
      </c>
      <c r="D543" s="1">
        <v>481.0</v>
      </c>
      <c r="E543" s="1">
        <v>552.0</v>
      </c>
      <c r="F543" s="1">
        <f t="shared" si="2"/>
        <v>71</v>
      </c>
      <c r="G543" s="1">
        <f t="shared" si="3"/>
        <v>71</v>
      </c>
      <c r="H543" s="6">
        <f t="shared" si="4"/>
        <v>0.1476091476</v>
      </c>
      <c r="I543" s="6">
        <f t="shared" si="5"/>
        <v>0.8523908524</v>
      </c>
      <c r="J543" s="1">
        <f t="shared" si="6"/>
        <v>71</v>
      </c>
      <c r="K543" s="1" t="str">
        <f t="shared" si="7"/>
        <v>Over Forecast</v>
      </c>
      <c r="L543" s="1">
        <f>F543+J542</f>
        <v>47</v>
      </c>
      <c r="M543" s="7">
        <f t="shared" si="10"/>
        <v>77.09225092</v>
      </c>
      <c r="N543" s="7">
        <f t="shared" si="8"/>
        <v>0.6096591997</v>
      </c>
      <c r="O543" s="2" t="str">
        <f t="shared" si="9"/>
        <v>Acceptable</v>
      </c>
    </row>
    <row r="544" ht="15.75" customHeight="1">
      <c r="A544" s="1" t="s">
        <v>74</v>
      </c>
      <c r="B544" s="1" t="s">
        <v>69</v>
      </c>
      <c r="C544" s="1" t="s">
        <v>19</v>
      </c>
      <c r="D544" s="1">
        <v>473.0</v>
      </c>
      <c r="E544" s="1">
        <v>426.0</v>
      </c>
      <c r="F544" s="1">
        <f t="shared" si="2"/>
        <v>-47</v>
      </c>
      <c r="G544" s="1">
        <f t="shared" si="3"/>
        <v>47</v>
      </c>
      <c r="H544" s="6">
        <f t="shared" si="4"/>
        <v>0.09936575053</v>
      </c>
      <c r="I544" s="6">
        <f t="shared" si="5"/>
        <v>0.9006342495</v>
      </c>
      <c r="J544" s="1">
        <f t="shared" si="6"/>
        <v>-47</v>
      </c>
      <c r="K544" s="1" t="str">
        <f t="shared" si="7"/>
        <v>Under Forecast</v>
      </c>
      <c r="L544" s="1">
        <f>F544</f>
        <v>-47</v>
      </c>
      <c r="M544" s="7">
        <f t="shared" si="10"/>
        <v>77.03683241</v>
      </c>
      <c r="N544" s="7">
        <f t="shared" si="8"/>
        <v>-0.6100977744</v>
      </c>
      <c r="O544" s="2" t="str">
        <f t="shared" si="9"/>
        <v>Acceptable</v>
      </c>
    </row>
    <row r="545" ht="15.75" customHeight="1">
      <c r="A545" s="1" t="s">
        <v>74</v>
      </c>
      <c r="B545" s="1" t="s">
        <v>69</v>
      </c>
      <c r="C545" s="1" t="s">
        <v>20</v>
      </c>
      <c r="D545" s="1">
        <v>467.0</v>
      </c>
      <c r="E545" s="1">
        <v>506.0</v>
      </c>
      <c r="F545" s="1">
        <f t="shared" si="2"/>
        <v>39</v>
      </c>
      <c r="G545" s="1">
        <f t="shared" si="3"/>
        <v>39</v>
      </c>
      <c r="H545" s="6">
        <f t="shared" si="4"/>
        <v>0.0835117773</v>
      </c>
      <c r="I545" s="6">
        <f t="shared" si="5"/>
        <v>0.9164882227</v>
      </c>
      <c r="J545" s="1">
        <f t="shared" si="6"/>
        <v>39</v>
      </c>
      <c r="K545" s="1" t="str">
        <f t="shared" si="7"/>
        <v>Over Forecast</v>
      </c>
      <c r="L545" s="1">
        <f>F545+J544</f>
        <v>-8</v>
      </c>
      <c r="M545" s="7">
        <f t="shared" si="10"/>
        <v>76.96691176</v>
      </c>
      <c r="N545" s="7">
        <f t="shared" si="8"/>
        <v>-0.103940769</v>
      </c>
      <c r="O545" s="2" t="str">
        <f t="shared" si="9"/>
        <v>Acceptable</v>
      </c>
    </row>
    <row r="546" ht="15.75" customHeight="1">
      <c r="A546" s="1" t="s">
        <v>74</v>
      </c>
      <c r="B546" s="1" t="s">
        <v>69</v>
      </c>
      <c r="C546" s="1" t="s">
        <v>21</v>
      </c>
      <c r="D546" s="1">
        <v>552.0</v>
      </c>
      <c r="E546" s="1">
        <v>601.0</v>
      </c>
      <c r="F546" s="1">
        <f t="shared" si="2"/>
        <v>49</v>
      </c>
      <c r="G546" s="1">
        <f t="shared" si="3"/>
        <v>49</v>
      </c>
      <c r="H546" s="6">
        <f t="shared" si="4"/>
        <v>0.08876811594</v>
      </c>
      <c r="I546" s="6">
        <f t="shared" si="5"/>
        <v>0.9112318841</v>
      </c>
      <c r="J546" s="1">
        <f t="shared" si="6"/>
        <v>49</v>
      </c>
      <c r="K546" s="1" t="str">
        <f t="shared" si="7"/>
        <v>Over Forecast</v>
      </c>
      <c r="L546" s="1">
        <f>F546</f>
        <v>49</v>
      </c>
      <c r="M546" s="7">
        <f t="shared" si="10"/>
        <v>76.91559633</v>
      </c>
      <c r="N546" s="7">
        <f t="shared" si="8"/>
        <v>0.6370619528</v>
      </c>
      <c r="O546" s="2" t="str">
        <f t="shared" si="9"/>
        <v>Acceptable</v>
      </c>
    </row>
    <row r="547" ht="15.75" customHeight="1">
      <c r="A547" s="1" t="s">
        <v>74</v>
      </c>
      <c r="B547" s="1" t="s">
        <v>69</v>
      </c>
      <c r="C547" s="1" t="s">
        <v>22</v>
      </c>
      <c r="D547" s="1">
        <v>490.0</v>
      </c>
      <c r="E547" s="1">
        <v>534.0</v>
      </c>
      <c r="F547" s="1">
        <f t="shared" si="2"/>
        <v>44</v>
      </c>
      <c r="G547" s="1">
        <f t="shared" si="3"/>
        <v>44</v>
      </c>
      <c r="H547" s="6">
        <f t="shared" si="4"/>
        <v>0.08979591837</v>
      </c>
      <c r="I547" s="6">
        <f t="shared" si="5"/>
        <v>0.9102040816</v>
      </c>
      <c r="J547" s="1">
        <f t="shared" si="6"/>
        <v>44</v>
      </c>
      <c r="K547" s="1" t="str">
        <f t="shared" si="7"/>
        <v>Over Forecast</v>
      </c>
      <c r="L547" s="1">
        <f>F547+J546</f>
        <v>93</v>
      </c>
      <c r="M547" s="7">
        <f t="shared" si="10"/>
        <v>76.85531136</v>
      </c>
      <c r="N547" s="7">
        <f t="shared" si="8"/>
        <v>1.210066011</v>
      </c>
      <c r="O547" s="2" t="str">
        <f t="shared" si="9"/>
        <v>Acceptable</v>
      </c>
    </row>
    <row r="548" ht="15.75" customHeight="1">
      <c r="A548" s="1" t="s">
        <v>74</v>
      </c>
      <c r="B548" s="1" t="s">
        <v>69</v>
      </c>
      <c r="C548" s="1" t="s">
        <v>23</v>
      </c>
      <c r="D548" s="1">
        <v>530.0</v>
      </c>
      <c r="E548" s="1">
        <v>600.0</v>
      </c>
      <c r="F548" s="1">
        <f t="shared" si="2"/>
        <v>70</v>
      </c>
      <c r="G548" s="1">
        <f t="shared" si="3"/>
        <v>70</v>
      </c>
      <c r="H548" s="6">
        <f t="shared" si="4"/>
        <v>0.1320754717</v>
      </c>
      <c r="I548" s="6">
        <f t="shared" si="5"/>
        <v>0.8679245283</v>
      </c>
      <c r="J548" s="1">
        <f t="shared" si="6"/>
        <v>70</v>
      </c>
      <c r="K548" s="1" t="str">
        <f t="shared" si="7"/>
        <v>Over Forecast</v>
      </c>
      <c r="L548" s="1">
        <f>F548</f>
        <v>70</v>
      </c>
      <c r="M548" s="7">
        <f t="shared" si="10"/>
        <v>76.84277879</v>
      </c>
      <c r="N548" s="7">
        <f t="shared" si="8"/>
        <v>0.9109509195</v>
      </c>
      <c r="O548" s="2" t="str">
        <f t="shared" si="9"/>
        <v>Acceptable</v>
      </c>
    </row>
    <row r="549" ht="15.75" customHeight="1">
      <c r="A549" s="1" t="s">
        <v>74</v>
      </c>
      <c r="B549" s="1" t="s">
        <v>69</v>
      </c>
      <c r="C549" s="1" t="s">
        <v>24</v>
      </c>
      <c r="D549" s="1">
        <v>469.0</v>
      </c>
      <c r="E549" s="1">
        <v>529.0</v>
      </c>
      <c r="F549" s="1">
        <f t="shared" si="2"/>
        <v>60</v>
      </c>
      <c r="G549" s="1">
        <f t="shared" si="3"/>
        <v>60</v>
      </c>
      <c r="H549" s="6">
        <f t="shared" si="4"/>
        <v>0.1279317697</v>
      </c>
      <c r="I549" s="6">
        <f t="shared" si="5"/>
        <v>0.8720682303</v>
      </c>
      <c r="J549" s="1">
        <f t="shared" si="6"/>
        <v>60</v>
      </c>
      <c r="K549" s="1" t="str">
        <f t="shared" si="7"/>
        <v>Over Forecast</v>
      </c>
      <c r="L549" s="1">
        <f>F549+J548</f>
        <v>130</v>
      </c>
      <c r="M549" s="7">
        <f t="shared" si="10"/>
        <v>76.8120438</v>
      </c>
      <c r="N549" s="7">
        <f t="shared" si="8"/>
        <v>1.692442924</v>
      </c>
      <c r="O549" s="2" t="str">
        <f t="shared" si="9"/>
        <v>Acceptable</v>
      </c>
    </row>
    <row r="550" ht="15.75" customHeight="1">
      <c r="A550" s="1" t="s">
        <v>74</v>
      </c>
      <c r="B550" s="1" t="s">
        <v>69</v>
      </c>
      <c r="C550" s="1" t="s">
        <v>25</v>
      </c>
      <c r="D550" s="1">
        <v>486.0</v>
      </c>
      <c r="E550" s="1">
        <v>577.0</v>
      </c>
      <c r="F550" s="1">
        <f t="shared" si="2"/>
        <v>91</v>
      </c>
      <c r="G550" s="1">
        <f t="shared" si="3"/>
        <v>91</v>
      </c>
      <c r="H550" s="6">
        <f t="shared" si="4"/>
        <v>0.1872427984</v>
      </c>
      <c r="I550" s="6">
        <f t="shared" si="5"/>
        <v>0.8127572016</v>
      </c>
      <c r="J550" s="1">
        <f t="shared" si="6"/>
        <v>91</v>
      </c>
      <c r="K550" s="1" t="str">
        <f t="shared" si="7"/>
        <v>Over Forecast</v>
      </c>
      <c r="L550" s="1">
        <f>F550</f>
        <v>91</v>
      </c>
      <c r="M550" s="7">
        <f t="shared" si="10"/>
        <v>76.83788707</v>
      </c>
      <c r="N550" s="7">
        <f t="shared" si="8"/>
        <v>1.184311587</v>
      </c>
      <c r="O550" s="2" t="str">
        <f t="shared" si="9"/>
        <v>Acceptable</v>
      </c>
    </row>
    <row r="551" ht="15.75" customHeight="1">
      <c r="A551" s="1" t="s">
        <v>74</v>
      </c>
      <c r="B551" s="1" t="s">
        <v>69</v>
      </c>
      <c r="C551" s="1" t="s">
        <v>26</v>
      </c>
      <c r="D551" s="1">
        <v>459.0</v>
      </c>
      <c r="E551" s="1">
        <v>500.0</v>
      </c>
      <c r="F551" s="1">
        <f t="shared" si="2"/>
        <v>41</v>
      </c>
      <c r="G551" s="1">
        <f t="shared" si="3"/>
        <v>41</v>
      </c>
      <c r="H551" s="6">
        <f t="shared" si="4"/>
        <v>0.08932461874</v>
      </c>
      <c r="I551" s="6">
        <f t="shared" si="5"/>
        <v>0.9106753813</v>
      </c>
      <c r="J551" s="1">
        <f t="shared" si="6"/>
        <v>41</v>
      </c>
      <c r="K551" s="1" t="str">
        <f t="shared" si="7"/>
        <v>Over Forecast</v>
      </c>
      <c r="L551" s="1">
        <f>F551+J550</f>
        <v>132</v>
      </c>
      <c r="M551" s="7">
        <f t="shared" si="10"/>
        <v>76.77272727</v>
      </c>
      <c r="N551" s="7">
        <f t="shared" si="8"/>
        <v>1.719360568</v>
      </c>
      <c r="O551" s="2" t="str">
        <f t="shared" si="9"/>
        <v>Acceptable</v>
      </c>
    </row>
    <row r="552" ht="15.75" customHeight="1">
      <c r="A552" s="1" t="s">
        <v>74</v>
      </c>
      <c r="B552" s="1" t="s">
        <v>69</v>
      </c>
      <c r="C552" s="1" t="s">
        <v>27</v>
      </c>
      <c r="D552" s="1">
        <v>507.0</v>
      </c>
      <c r="E552" s="1">
        <v>471.0</v>
      </c>
      <c r="F552" s="1">
        <f t="shared" si="2"/>
        <v>-36</v>
      </c>
      <c r="G552" s="1">
        <f t="shared" si="3"/>
        <v>36</v>
      </c>
      <c r="H552" s="6">
        <f t="shared" si="4"/>
        <v>0.07100591716</v>
      </c>
      <c r="I552" s="6">
        <f t="shared" si="5"/>
        <v>0.9289940828</v>
      </c>
      <c r="J552" s="1">
        <f t="shared" si="6"/>
        <v>-36</v>
      </c>
      <c r="K552" s="1" t="str">
        <f t="shared" si="7"/>
        <v>Under Forecast</v>
      </c>
      <c r="L552" s="1">
        <f>F552</f>
        <v>-36</v>
      </c>
      <c r="M552" s="7">
        <f t="shared" si="10"/>
        <v>76.69872958</v>
      </c>
      <c r="N552" s="7">
        <f t="shared" si="8"/>
        <v>-0.4693689217</v>
      </c>
      <c r="O552" s="2" t="str">
        <f t="shared" si="9"/>
        <v>Acceptable</v>
      </c>
    </row>
    <row r="553" ht="15.75" customHeight="1">
      <c r="A553" s="1" t="s">
        <v>74</v>
      </c>
      <c r="B553" s="1" t="s">
        <v>69</v>
      </c>
      <c r="C553" s="1" t="s">
        <v>28</v>
      </c>
      <c r="D553" s="1">
        <v>493.0</v>
      </c>
      <c r="E553" s="1">
        <v>545.0</v>
      </c>
      <c r="F553" s="1">
        <f t="shared" si="2"/>
        <v>52</v>
      </c>
      <c r="G553" s="1">
        <f t="shared" si="3"/>
        <v>52</v>
      </c>
      <c r="H553" s="6">
        <f t="shared" si="4"/>
        <v>0.1054766734</v>
      </c>
      <c r="I553" s="6">
        <f t="shared" si="5"/>
        <v>0.8945233266</v>
      </c>
      <c r="J553" s="1">
        <f t="shared" si="6"/>
        <v>52</v>
      </c>
      <c r="K553" s="1" t="str">
        <f t="shared" si="7"/>
        <v>Over Forecast</v>
      </c>
      <c r="L553" s="1">
        <f>F553+J552</f>
        <v>16</v>
      </c>
      <c r="M553" s="7">
        <f t="shared" si="10"/>
        <v>76.65398551</v>
      </c>
      <c r="N553" s="7">
        <f t="shared" si="8"/>
        <v>0.2087301775</v>
      </c>
      <c r="O553" s="2" t="str">
        <f t="shared" si="9"/>
        <v>Acceptable</v>
      </c>
    </row>
    <row r="554" ht="15.75" customHeight="1">
      <c r="A554" s="1" t="s">
        <v>75</v>
      </c>
      <c r="B554" s="1" t="s">
        <v>69</v>
      </c>
      <c r="C554" s="1" t="s">
        <v>17</v>
      </c>
      <c r="D554" s="1">
        <v>493.0</v>
      </c>
      <c r="E554" s="1">
        <v>508.0</v>
      </c>
      <c r="F554" s="1">
        <f t="shared" si="2"/>
        <v>15</v>
      </c>
      <c r="G554" s="1">
        <f t="shared" si="3"/>
        <v>15</v>
      </c>
      <c r="H554" s="6">
        <f t="shared" si="4"/>
        <v>0.03042596349</v>
      </c>
      <c r="I554" s="6">
        <f t="shared" si="5"/>
        <v>0.9695740365</v>
      </c>
      <c r="J554" s="1">
        <f t="shared" si="6"/>
        <v>15</v>
      </c>
      <c r="K554" s="1" t="str">
        <f t="shared" si="7"/>
        <v>Over Forecast</v>
      </c>
      <c r="L554" s="1">
        <f>F554</f>
        <v>15</v>
      </c>
      <c r="M554" s="7">
        <f t="shared" si="10"/>
        <v>76.54249548</v>
      </c>
      <c r="N554" s="7">
        <f t="shared" si="8"/>
        <v>0.195969571</v>
      </c>
      <c r="O554" s="2" t="str">
        <f t="shared" si="9"/>
        <v>Acceptable</v>
      </c>
    </row>
    <row r="555" ht="15.75" customHeight="1">
      <c r="A555" s="1" t="s">
        <v>75</v>
      </c>
      <c r="B555" s="1" t="s">
        <v>69</v>
      </c>
      <c r="C555" s="1" t="s">
        <v>18</v>
      </c>
      <c r="D555" s="1">
        <v>583.0</v>
      </c>
      <c r="E555" s="1">
        <v>549.0</v>
      </c>
      <c r="F555" s="1">
        <f t="shared" si="2"/>
        <v>-34</v>
      </c>
      <c r="G555" s="1">
        <f t="shared" si="3"/>
        <v>34</v>
      </c>
      <c r="H555" s="6">
        <f t="shared" si="4"/>
        <v>0.05831903945</v>
      </c>
      <c r="I555" s="6">
        <f t="shared" si="5"/>
        <v>0.9416809605</v>
      </c>
      <c r="J555" s="1">
        <f t="shared" si="6"/>
        <v>-34</v>
      </c>
      <c r="K555" s="1" t="str">
        <f t="shared" si="7"/>
        <v>Under Forecast</v>
      </c>
      <c r="L555" s="1">
        <f>F555+J554</f>
        <v>-19</v>
      </c>
      <c r="M555" s="7">
        <f t="shared" si="10"/>
        <v>76.46570397</v>
      </c>
      <c r="N555" s="7">
        <f t="shared" si="8"/>
        <v>-0.248477409</v>
      </c>
      <c r="O555" s="2" t="str">
        <f t="shared" si="9"/>
        <v>Acceptable</v>
      </c>
    </row>
    <row r="556" ht="15.75" customHeight="1">
      <c r="A556" s="1" t="s">
        <v>75</v>
      </c>
      <c r="B556" s="1" t="s">
        <v>69</v>
      </c>
      <c r="C556" s="1" t="s">
        <v>19</v>
      </c>
      <c r="D556" s="1">
        <v>546.0</v>
      </c>
      <c r="E556" s="1">
        <v>449.0</v>
      </c>
      <c r="F556" s="1">
        <f t="shared" si="2"/>
        <v>-97</v>
      </c>
      <c r="G556" s="1">
        <f t="shared" si="3"/>
        <v>97</v>
      </c>
      <c r="H556" s="6">
        <f t="shared" si="4"/>
        <v>0.1776556777</v>
      </c>
      <c r="I556" s="6">
        <f t="shared" si="5"/>
        <v>0.8223443223</v>
      </c>
      <c r="J556" s="1">
        <f t="shared" si="6"/>
        <v>-97</v>
      </c>
      <c r="K556" s="1" t="str">
        <f t="shared" si="7"/>
        <v>Under Forecast</v>
      </c>
      <c r="L556" s="1">
        <f>F556</f>
        <v>-97</v>
      </c>
      <c r="M556" s="7">
        <f t="shared" si="10"/>
        <v>76.5027027</v>
      </c>
      <c r="N556" s="7">
        <f t="shared" si="8"/>
        <v>-1.267929061</v>
      </c>
      <c r="O556" s="2" t="str">
        <f t="shared" si="9"/>
        <v>Acceptable</v>
      </c>
    </row>
    <row r="557" ht="15.75" customHeight="1">
      <c r="A557" s="1" t="s">
        <v>75</v>
      </c>
      <c r="B557" s="1" t="s">
        <v>69</v>
      </c>
      <c r="C557" s="1" t="s">
        <v>20</v>
      </c>
      <c r="D557" s="1">
        <v>678.0</v>
      </c>
      <c r="E557" s="1">
        <v>743.0</v>
      </c>
      <c r="F557" s="1">
        <f t="shared" si="2"/>
        <v>65</v>
      </c>
      <c r="G557" s="1">
        <f t="shared" si="3"/>
        <v>65</v>
      </c>
      <c r="H557" s="6">
        <f t="shared" si="4"/>
        <v>0.09587020649</v>
      </c>
      <c r="I557" s="6">
        <f t="shared" si="5"/>
        <v>0.9041297935</v>
      </c>
      <c r="J557" s="1">
        <f t="shared" si="6"/>
        <v>65</v>
      </c>
      <c r="K557" s="1" t="str">
        <f t="shared" si="7"/>
        <v>Over Forecast</v>
      </c>
      <c r="L557" s="1">
        <f>F557+J556</f>
        <v>-32</v>
      </c>
      <c r="M557" s="7">
        <f t="shared" si="10"/>
        <v>76.48201439</v>
      </c>
      <c r="N557" s="7">
        <f t="shared" si="8"/>
        <v>-0.4183990217</v>
      </c>
      <c r="O557" s="2" t="str">
        <f t="shared" si="9"/>
        <v>Acceptable</v>
      </c>
    </row>
    <row r="558" ht="15.75" customHeight="1">
      <c r="A558" s="1" t="s">
        <v>75</v>
      </c>
      <c r="B558" s="1" t="s">
        <v>69</v>
      </c>
      <c r="C558" s="1" t="s">
        <v>21</v>
      </c>
      <c r="D558" s="1">
        <v>694.0</v>
      </c>
      <c r="E558" s="1">
        <v>648.0</v>
      </c>
      <c r="F558" s="1">
        <f t="shared" si="2"/>
        <v>-46</v>
      </c>
      <c r="G558" s="1">
        <f t="shared" si="3"/>
        <v>46</v>
      </c>
      <c r="H558" s="6">
        <f t="shared" si="4"/>
        <v>0.06628242075</v>
      </c>
      <c r="I558" s="6">
        <f t="shared" si="5"/>
        <v>0.9337175793</v>
      </c>
      <c r="J558" s="1">
        <f t="shared" si="6"/>
        <v>-46</v>
      </c>
      <c r="K558" s="1" t="str">
        <f t="shared" si="7"/>
        <v>Under Forecast</v>
      </c>
      <c r="L558" s="1">
        <f>F558</f>
        <v>-46</v>
      </c>
      <c r="M558" s="7">
        <f t="shared" si="10"/>
        <v>76.42728905</v>
      </c>
      <c r="N558" s="7">
        <f t="shared" si="8"/>
        <v>-0.6018792577</v>
      </c>
      <c r="O558" s="2" t="str">
        <f t="shared" si="9"/>
        <v>Acceptable</v>
      </c>
    </row>
    <row r="559" ht="15.75" customHeight="1">
      <c r="A559" s="1" t="s">
        <v>75</v>
      </c>
      <c r="B559" s="1" t="s">
        <v>69</v>
      </c>
      <c r="C559" s="1" t="s">
        <v>22</v>
      </c>
      <c r="D559" s="1">
        <v>722.0</v>
      </c>
      <c r="E559" s="1">
        <v>706.0</v>
      </c>
      <c r="F559" s="1">
        <f t="shared" si="2"/>
        <v>-16</v>
      </c>
      <c r="G559" s="1">
        <f t="shared" si="3"/>
        <v>16</v>
      </c>
      <c r="H559" s="6">
        <f t="shared" si="4"/>
        <v>0.02216066482</v>
      </c>
      <c r="I559" s="6">
        <f t="shared" si="5"/>
        <v>0.9778393352</v>
      </c>
      <c r="J559" s="1">
        <f t="shared" si="6"/>
        <v>-16</v>
      </c>
      <c r="K559" s="1" t="str">
        <f t="shared" si="7"/>
        <v>Under Forecast</v>
      </c>
      <c r="L559" s="1">
        <f>F559+J558</f>
        <v>-62</v>
      </c>
      <c r="M559" s="7">
        <f t="shared" si="10"/>
        <v>76.31899642</v>
      </c>
      <c r="N559" s="7">
        <f t="shared" si="8"/>
        <v>-0.8123796553</v>
      </c>
      <c r="O559" s="2" t="str">
        <f t="shared" si="9"/>
        <v>Acceptable</v>
      </c>
    </row>
    <row r="560" ht="15.75" customHeight="1">
      <c r="A560" s="1" t="s">
        <v>75</v>
      </c>
      <c r="B560" s="1" t="s">
        <v>69</v>
      </c>
      <c r="C560" s="1" t="s">
        <v>23</v>
      </c>
      <c r="D560" s="1">
        <v>717.0</v>
      </c>
      <c r="E560" s="1">
        <v>587.0</v>
      </c>
      <c r="F560" s="1">
        <f t="shared" si="2"/>
        <v>-130</v>
      </c>
      <c r="G560" s="1">
        <f t="shared" si="3"/>
        <v>130</v>
      </c>
      <c r="H560" s="6">
        <f t="shared" si="4"/>
        <v>0.1813110181</v>
      </c>
      <c r="I560" s="6">
        <f t="shared" si="5"/>
        <v>0.8186889819</v>
      </c>
      <c r="J560" s="1">
        <f t="shared" si="6"/>
        <v>-130</v>
      </c>
      <c r="K560" s="1" t="str">
        <f t="shared" si="7"/>
        <v>Under Forecast</v>
      </c>
      <c r="L560" s="1">
        <f>F560</f>
        <v>-130</v>
      </c>
      <c r="M560" s="7">
        <f t="shared" si="10"/>
        <v>76.41502683</v>
      </c>
      <c r="N560" s="7">
        <f t="shared" si="8"/>
        <v>-1.701236071</v>
      </c>
      <c r="O560" s="2" t="str">
        <f t="shared" si="9"/>
        <v>Acceptable</v>
      </c>
    </row>
    <row r="561" ht="15.75" customHeight="1">
      <c r="A561" s="1" t="s">
        <v>75</v>
      </c>
      <c r="B561" s="1" t="s">
        <v>69</v>
      </c>
      <c r="C561" s="1" t="s">
        <v>24</v>
      </c>
      <c r="D561" s="1">
        <v>774.0</v>
      </c>
      <c r="E561" s="1">
        <v>705.0</v>
      </c>
      <c r="F561" s="1">
        <f t="shared" si="2"/>
        <v>-69</v>
      </c>
      <c r="G561" s="1">
        <f t="shared" si="3"/>
        <v>69</v>
      </c>
      <c r="H561" s="6">
        <f t="shared" si="4"/>
        <v>0.08914728682</v>
      </c>
      <c r="I561" s="6">
        <f t="shared" si="5"/>
        <v>0.9108527132</v>
      </c>
      <c r="J561" s="1">
        <f t="shared" si="6"/>
        <v>-69</v>
      </c>
      <c r="K561" s="1" t="str">
        <f t="shared" si="7"/>
        <v>Under Forecast</v>
      </c>
      <c r="L561" s="1">
        <f>F561+J560</f>
        <v>-199</v>
      </c>
      <c r="M561" s="7">
        <f t="shared" si="10"/>
        <v>76.40178571</v>
      </c>
      <c r="N561" s="7">
        <f t="shared" si="8"/>
        <v>-2.604651163</v>
      </c>
      <c r="O561" s="2" t="str">
        <f t="shared" si="9"/>
        <v>Acceptable</v>
      </c>
    </row>
    <row r="562" ht="15.75" customHeight="1">
      <c r="A562" s="1" t="s">
        <v>75</v>
      </c>
      <c r="B562" s="1" t="s">
        <v>69</v>
      </c>
      <c r="C562" s="1" t="s">
        <v>25</v>
      </c>
      <c r="D562" s="1">
        <v>751.0</v>
      </c>
      <c r="E562" s="1">
        <v>657.0</v>
      </c>
      <c r="F562" s="1">
        <f t="shared" si="2"/>
        <v>-94</v>
      </c>
      <c r="G562" s="1">
        <f t="shared" si="3"/>
        <v>94</v>
      </c>
      <c r="H562" s="6">
        <f t="shared" si="4"/>
        <v>0.1251664447</v>
      </c>
      <c r="I562" s="6">
        <f t="shared" si="5"/>
        <v>0.8748335553</v>
      </c>
      <c r="J562" s="1">
        <f t="shared" si="6"/>
        <v>-94</v>
      </c>
      <c r="K562" s="1" t="str">
        <f t="shared" si="7"/>
        <v>Under Forecast</v>
      </c>
      <c r="L562" s="1">
        <f>F562</f>
        <v>-94</v>
      </c>
      <c r="M562" s="7">
        <f t="shared" si="10"/>
        <v>76.43315508</v>
      </c>
      <c r="N562" s="7">
        <f t="shared" si="8"/>
        <v>-1.229832785</v>
      </c>
      <c r="O562" s="2" t="str">
        <f t="shared" si="9"/>
        <v>Acceptable</v>
      </c>
    </row>
    <row r="563" ht="15.75" customHeight="1">
      <c r="A563" s="1" t="s">
        <v>75</v>
      </c>
      <c r="B563" s="1" t="s">
        <v>69</v>
      </c>
      <c r="C563" s="1" t="s">
        <v>26</v>
      </c>
      <c r="D563" s="1">
        <v>641.0</v>
      </c>
      <c r="E563" s="1">
        <v>543.0</v>
      </c>
      <c r="F563" s="1">
        <f t="shared" si="2"/>
        <v>-98</v>
      </c>
      <c r="G563" s="1">
        <f t="shared" si="3"/>
        <v>98</v>
      </c>
      <c r="H563" s="6">
        <f t="shared" si="4"/>
        <v>0.1528861154</v>
      </c>
      <c r="I563" s="6">
        <f t="shared" si="5"/>
        <v>0.8471138846</v>
      </c>
      <c r="J563" s="1">
        <f t="shared" si="6"/>
        <v>-98</v>
      </c>
      <c r="K563" s="1" t="str">
        <f t="shared" si="7"/>
        <v>Under Forecast</v>
      </c>
      <c r="L563" s="1">
        <f>F563+J562</f>
        <v>-192</v>
      </c>
      <c r="M563" s="7">
        <f t="shared" si="10"/>
        <v>76.47153025</v>
      </c>
      <c r="N563" s="7">
        <f t="shared" si="8"/>
        <v>-2.510738302</v>
      </c>
      <c r="O563" s="2" t="str">
        <f t="shared" si="9"/>
        <v>Acceptable</v>
      </c>
    </row>
    <row r="564" ht="15.75" customHeight="1">
      <c r="A564" s="1" t="s">
        <v>75</v>
      </c>
      <c r="B564" s="1" t="s">
        <v>69</v>
      </c>
      <c r="C564" s="1" t="s">
        <v>27</v>
      </c>
      <c r="D564" s="1">
        <v>713.0</v>
      </c>
      <c r="E564" s="1">
        <v>772.0</v>
      </c>
      <c r="F564" s="1">
        <f t="shared" si="2"/>
        <v>59</v>
      </c>
      <c r="G564" s="1">
        <f t="shared" si="3"/>
        <v>59</v>
      </c>
      <c r="H564" s="6">
        <f t="shared" si="4"/>
        <v>0.08274894811</v>
      </c>
      <c r="I564" s="6">
        <f t="shared" si="5"/>
        <v>0.9172510519</v>
      </c>
      <c r="J564" s="1">
        <f t="shared" si="6"/>
        <v>59</v>
      </c>
      <c r="K564" s="1" t="str">
        <f t="shared" si="7"/>
        <v>Over Forecast</v>
      </c>
      <c r="L564" s="1">
        <f>F564</f>
        <v>59</v>
      </c>
      <c r="M564" s="7">
        <f t="shared" si="10"/>
        <v>76.44049734</v>
      </c>
      <c r="N564" s="7">
        <f t="shared" si="8"/>
        <v>0.7718421786</v>
      </c>
      <c r="O564" s="2" t="str">
        <f t="shared" si="9"/>
        <v>Acceptable</v>
      </c>
    </row>
    <row r="565" ht="15.75" customHeight="1">
      <c r="A565" s="1" t="s">
        <v>75</v>
      </c>
      <c r="B565" s="1" t="s">
        <v>69</v>
      </c>
      <c r="C565" s="1" t="s">
        <v>28</v>
      </c>
      <c r="D565" s="1">
        <v>658.0</v>
      </c>
      <c r="E565" s="1">
        <v>695.0</v>
      </c>
      <c r="F565" s="1">
        <f t="shared" si="2"/>
        <v>37</v>
      </c>
      <c r="G565" s="1">
        <f t="shared" si="3"/>
        <v>37</v>
      </c>
      <c r="H565" s="6">
        <f t="shared" si="4"/>
        <v>0.05623100304</v>
      </c>
      <c r="I565" s="6">
        <f t="shared" si="5"/>
        <v>0.943768997</v>
      </c>
      <c r="J565" s="1">
        <f t="shared" si="6"/>
        <v>37</v>
      </c>
      <c r="K565" s="1" t="str">
        <f t="shared" si="7"/>
        <v>Over Forecast</v>
      </c>
      <c r="L565" s="1">
        <f>F565+J564</f>
        <v>96</v>
      </c>
      <c r="M565" s="7">
        <f t="shared" si="10"/>
        <v>76.37056738</v>
      </c>
      <c r="N565" s="7">
        <f t="shared" si="8"/>
        <v>1.257028765</v>
      </c>
      <c r="O565" s="2" t="str">
        <f t="shared" si="9"/>
        <v>Acceptable</v>
      </c>
    </row>
    <row r="566" ht="15.75" customHeight="1">
      <c r="A566" s="1" t="s">
        <v>76</v>
      </c>
      <c r="B566" s="1" t="s">
        <v>69</v>
      </c>
      <c r="C566" s="1" t="s">
        <v>17</v>
      </c>
      <c r="D566" s="1">
        <v>574.0</v>
      </c>
      <c r="E566" s="1">
        <v>543.0</v>
      </c>
      <c r="F566" s="1">
        <f t="shared" si="2"/>
        <v>-31</v>
      </c>
      <c r="G566" s="1">
        <f t="shared" si="3"/>
        <v>31</v>
      </c>
      <c r="H566" s="6">
        <f t="shared" si="4"/>
        <v>0.05400696864</v>
      </c>
      <c r="I566" s="6">
        <f t="shared" si="5"/>
        <v>0.9459930314</v>
      </c>
      <c r="J566" s="1">
        <f t="shared" si="6"/>
        <v>-31</v>
      </c>
      <c r="K566" s="1" t="str">
        <f t="shared" si="7"/>
        <v>Under Forecast</v>
      </c>
      <c r="L566" s="1">
        <f>F566</f>
        <v>-31</v>
      </c>
      <c r="M566" s="7">
        <f t="shared" si="10"/>
        <v>76.29026549</v>
      </c>
      <c r="N566" s="7">
        <f t="shared" si="8"/>
        <v>-0.4063427988</v>
      </c>
      <c r="O566" s="2" t="str">
        <f t="shared" si="9"/>
        <v>Acceptable</v>
      </c>
    </row>
    <row r="567" ht="15.75" customHeight="1">
      <c r="A567" s="1" t="s">
        <v>76</v>
      </c>
      <c r="B567" s="1" t="s">
        <v>69</v>
      </c>
      <c r="C567" s="1" t="s">
        <v>18</v>
      </c>
      <c r="D567" s="1">
        <v>534.0</v>
      </c>
      <c r="E567" s="1">
        <v>578.0</v>
      </c>
      <c r="F567" s="1">
        <f t="shared" si="2"/>
        <v>44</v>
      </c>
      <c r="G567" s="1">
        <f t="shared" si="3"/>
        <v>44</v>
      </c>
      <c r="H567" s="6">
        <f t="shared" si="4"/>
        <v>0.08239700375</v>
      </c>
      <c r="I567" s="6">
        <f t="shared" si="5"/>
        <v>0.9176029963</v>
      </c>
      <c r="J567" s="1">
        <f t="shared" si="6"/>
        <v>44</v>
      </c>
      <c r="K567" s="1" t="str">
        <f t="shared" si="7"/>
        <v>Over Forecast</v>
      </c>
      <c r="L567" s="1">
        <f>F567+J566</f>
        <v>13</v>
      </c>
      <c r="M567" s="7">
        <f t="shared" si="10"/>
        <v>76.23321555</v>
      </c>
      <c r="N567" s="7">
        <f t="shared" si="8"/>
        <v>0.1705293409</v>
      </c>
      <c r="O567" s="2" t="str">
        <f t="shared" si="9"/>
        <v>Acceptable</v>
      </c>
    </row>
    <row r="568" ht="15.75" customHeight="1">
      <c r="A568" s="1" t="s">
        <v>76</v>
      </c>
      <c r="B568" s="1" t="s">
        <v>69</v>
      </c>
      <c r="C568" s="1" t="s">
        <v>19</v>
      </c>
      <c r="D568" s="1">
        <v>639.0</v>
      </c>
      <c r="E568" s="1">
        <v>614.0</v>
      </c>
      <c r="F568" s="1">
        <f t="shared" si="2"/>
        <v>-25</v>
      </c>
      <c r="G568" s="1">
        <f t="shared" si="3"/>
        <v>25</v>
      </c>
      <c r="H568" s="6">
        <f t="shared" si="4"/>
        <v>0.03912363067</v>
      </c>
      <c r="I568" s="6">
        <f t="shared" si="5"/>
        <v>0.9608763693</v>
      </c>
      <c r="J568" s="1">
        <f t="shared" si="6"/>
        <v>-25</v>
      </c>
      <c r="K568" s="1" t="str">
        <f t="shared" si="7"/>
        <v>Under Forecast</v>
      </c>
      <c r="L568" s="1">
        <f>F568</f>
        <v>-25</v>
      </c>
      <c r="M568" s="7">
        <f t="shared" si="10"/>
        <v>76.14285714</v>
      </c>
      <c r="N568" s="7">
        <f t="shared" si="8"/>
        <v>-0.3283302064</v>
      </c>
      <c r="O568" s="2" t="str">
        <f t="shared" si="9"/>
        <v>Acceptable</v>
      </c>
    </row>
    <row r="569" ht="15.75" customHeight="1">
      <c r="A569" s="1" t="s">
        <v>76</v>
      </c>
      <c r="B569" s="1" t="s">
        <v>69</v>
      </c>
      <c r="C569" s="1" t="s">
        <v>20</v>
      </c>
      <c r="D569" s="1">
        <v>711.0</v>
      </c>
      <c r="E569" s="1">
        <v>657.0</v>
      </c>
      <c r="F569" s="1">
        <f t="shared" si="2"/>
        <v>-54</v>
      </c>
      <c r="G569" s="1">
        <f t="shared" si="3"/>
        <v>54</v>
      </c>
      <c r="H569" s="6">
        <f t="shared" si="4"/>
        <v>0.07594936709</v>
      </c>
      <c r="I569" s="6">
        <f t="shared" si="5"/>
        <v>0.9240506329</v>
      </c>
      <c r="J569" s="1">
        <f t="shared" si="6"/>
        <v>-54</v>
      </c>
      <c r="K569" s="1" t="str">
        <f t="shared" si="7"/>
        <v>Under Forecast</v>
      </c>
      <c r="L569" s="1">
        <f>F569+J568</f>
        <v>-79</v>
      </c>
      <c r="M569" s="7">
        <f t="shared" si="10"/>
        <v>76.10387324</v>
      </c>
      <c r="N569" s="7">
        <f t="shared" si="8"/>
        <v>-1.038054919</v>
      </c>
      <c r="O569" s="2" t="str">
        <f t="shared" si="9"/>
        <v>Acceptable</v>
      </c>
    </row>
    <row r="570" ht="15.75" customHeight="1">
      <c r="A570" s="1" t="s">
        <v>76</v>
      </c>
      <c r="B570" s="1" t="s">
        <v>69</v>
      </c>
      <c r="C570" s="1" t="s">
        <v>21</v>
      </c>
      <c r="D570" s="1">
        <v>676.0</v>
      </c>
      <c r="E570" s="1">
        <v>786.0</v>
      </c>
      <c r="F570" s="1">
        <f t="shared" si="2"/>
        <v>110</v>
      </c>
      <c r="G570" s="1">
        <f t="shared" si="3"/>
        <v>110</v>
      </c>
      <c r="H570" s="6">
        <f t="shared" si="4"/>
        <v>0.1627218935</v>
      </c>
      <c r="I570" s="6">
        <f t="shared" si="5"/>
        <v>0.8372781065</v>
      </c>
      <c r="J570" s="1">
        <f t="shared" si="6"/>
        <v>110</v>
      </c>
      <c r="K570" s="1" t="str">
        <f t="shared" si="7"/>
        <v>Over Forecast</v>
      </c>
      <c r="L570" s="1">
        <f>F570</f>
        <v>110</v>
      </c>
      <c r="M570" s="7">
        <f t="shared" si="10"/>
        <v>76.16344464</v>
      </c>
      <c r="N570" s="7">
        <f t="shared" si="8"/>
        <v>1.444262409</v>
      </c>
      <c r="O570" s="2" t="str">
        <f t="shared" si="9"/>
        <v>Acceptable</v>
      </c>
    </row>
    <row r="571" ht="15.75" customHeight="1">
      <c r="A571" s="1" t="s">
        <v>76</v>
      </c>
      <c r="B571" s="1" t="s">
        <v>69</v>
      </c>
      <c r="C571" s="1" t="s">
        <v>22</v>
      </c>
      <c r="D571" s="1">
        <v>702.0</v>
      </c>
      <c r="E571" s="1">
        <v>752.0</v>
      </c>
      <c r="F571" s="1">
        <f t="shared" si="2"/>
        <v>50</v>
      </c>
      <c r="G571" s="1">
        <f t="shared" si="3"/>
        <v>50</v>
      </c>
      <c r="H571" s="6">
        <f t="shared" si="4"/>
        <v>0.07122507123</v>
      </c>
      <c r="I571" s="6">
        <f t="shared" si="5"/>
        <v>0.9287749288</v>
      </c>
      <c r="J571" s="1">
        <f t="shared" si="6"/>
        <v>50</v>
      </c>
      <c r="K571" s="1" t="str">
        <f t="shared" si="7"/>
        <v>Over Forecast</v>
      </c>
      <c r="L571" s="1">
        <f>F571+J570</f>
        <v>160</v>
      </c>
      <c r="M571" s="7">
        <f t="shared" si="10"/>
        <v>76.11754386</v>
      </c>
      <c r="N571" s="7">
        <f t="shared" si="8"/>
        <v>2.102012123</v>
      </c>
      <c r="O571" s="2" t="str">
        <f t="shared" si="9"/>
        <v>Acceptable</v>
      </c>
    </row>
    <row r="572" ht="15.75" customHeight="1">
      <c r="A572" s="1" t="s">
        <v>76</v>
      </c>
      <c r="B572" s="1" t="s">
        <v>69</v>
      </c>
      <c r="C572" s="1" t="s">
        <v>23</v>
      </c>
      <c r="D572" s="1">
        <v>727.0</v>
      </c>
      <c r="E572" s="1">
        <v>699.0</v>
      </c>
      <c r="F572" s="1">
        <f t="shared" si="2"/>
        <v>-28</v>
      </c>
      <c r="G572" s="1">
        <f t="shared" si="3"/>
        <v>28</v>
      </c>
      <c r="H572" s="6">
        <f t="shared" si="4"/>
        <v>0.03851444292</v>
      </c>
      <c r="I572" s="6">
        <f t="shared" si="5"/>
        <v>0.9614855571</v>
      </c>
      <c r="J572" s="1">
        <f t="shared" si="6"/>
        <v>-28</v>
      </c>
      <c r="K572" s="1" t="str">
        <f t="shared" si="7"/>
        <v>Under Forecast</v>
      </c>
      <c r="L572" s="1">
        <f>F572</f>
        <v>-28</v>
      </c>
      <c r="M572" s="7">
        <f t="shared" si="10"/>
        <v>76.03327496</v>
      </c>
      <c r="N572" s="7">
        <f t="shared" si="8"/>
        <v>-0.368259818</v>
      </c>
      <c r="O572" s="2" t="str">
        <f t="shared" si="9"/>
        <v>Acceptable</v>
      </c>
    </row>
    <row r="573" ht="15.75" customHeight="1">
      <c r="A573" s="1" t="s">
        <v>76</v>
      </c>
      <c r="B573" s="1" t="s">
        <v>69</v>
      </c>
      <c r="C573" s="1" t="s">
        <v>24</v>
      </c>
      <c r="D573" s="1">
        <v>802.0</v>
      </c>
      <c r="E573" s="1">
        <v>804.0</v>
      </c>
      <c r="F573" s="1">
        <f t="shared" si="2"/>
        <v>2</v>
      </c>
      <c r="G573" s="1">
        <f t="shared" si="3"/>
        <v>2</v>
      </c>
      <c r="H573" s="6">
        <f t="shared" si="4"/>
        <v>0.002493765586</v>
      </c>
      <c r="I573" s="6">
        <f t="shared" si="5"/>
        <v>0.9975062344</v>
      </c>
      <c r="J573" s="1">
        <f t="shared" si="6"/>
        <v>2</v>
      </c>
      <c r="K573" s="1" t="str">
        <f t="shared" si="7"/>
        <v>Over Forecast</v>
      </c>
      <c r="L573" s="1">
        <f>F573+J572</f>
        <v>-26</v>
      </c>
      <c r="M573" s="7">
        <f t="shared" si="10"/>
        <v>75.90384615</v>
      </c>
      <c r="N573" s="7">
        <f t="shared" si="8"/>
        <v>-0.3425386369</v>
      </c>
      <c r="O573" s="2" t="str">
        <f t="shared" si="9"/>
        <v>Acceptable</v>
      </c>
    </row>
    <row r="574" ht="15.75" customHeight="1">
      <c r="A574" s="1" t="s">
        <v>76</v>
      </c>
      <c r="B574" s="1" t="s">
        <v>69</v>
      </c>
      <c r="C574" s="1" t="s">
        <v>25</v>
      </c>
      <c r="D574" s="1">
        <v>761.0</v>
      </c>
      <c r="E574" s="1">
        <v>722.0</v>
      </c>
      <c r="F574" s="1">
        <f t="shared" si="2"/>
        <v>-39</v>
      </c>
      <c r="G574" s="1">
        <f t="shared" si="3"/>
        <v>39</v>
      </c>
      <c r="H574" s="6">
        <f t="shared" si="4"/>
        <v>0.05124835742</v>
      </c>
      <c r="I574" s="6">
        <f t="shared" si="5"/>
        <v>0.9487516426</v>
      </c>
      <c r="J574" s="1">
        <f t="shared" si="6"/>
        <v>-39</v>
      </c>
      <c r="K574" s="1" t="str">
        <f t="shared" si="7"/>
        <v>Under Forecast</v>
      </c>
      <c r="L574" s="1">
        <f>F574</f>
        <v>-39</v>
      </c>
      <c r="M574" s="7">
        <f t="shared" si="10"/>
        <v>75.83944154</v>
      </c>
      <c r="N574" s="7">
        <f t="shared" si="8"/>
        <v>-0.5142442931</v>
      </c>
      <c r="O574" s="2" t="str">
        <f t="shared" si="9"/>
        <v>Acceptable</v>
      </c>
    </row>
    <row r="575" ht="15.75" customHeight="1">
      <c r="A575" s="1" t="s">
        <v>76</v>
      </c>
      <c r="B575" s="1" t="s">
        <v>69</v>
      </c>
      <c r="C575" s="1" t="s">
        <v>26</v>
      </c>
      <c r="D575" s="1">
        <v>666.0</v>
      </c>
      <c r="E575" s="1">
        <v>592.0</v>
      </c>
      <c r="F575" s="1">
        <f t="shared" si="2"/>
        <v>-74</v>
      </c>
      <c r="G575" s="1">
        <f t="shared" si="3"/>
        <v>74</v>
      </c>
      <c r="H575" s="6">
        <f t="shared" si="4"/>
        <v>0.1111111111</v>
      </c>
      <c r="I575" s="6">
        <f t="shared" si="5"/>
        <v>0.8888888889</v>
      </c>
      <c r="J575" s="1">
        <f t="shared" si="6"/>
        <v>-74</v>
      </c>
      <c r="K575" s="1" t="str">
        <f t="shared" si="7"/>
        <v>Under Forecast</v>
      </c>
      <c r="L575" s="1">
        <f>F575+J574</f>
        <v>-113</v>
      </c>
      <c r="M575" s="7">
        <f t="shared" si="10"/>
        <v>75.83623693</v>
      </c>
      <c r="N575" s="7">
        <f t="shared" si="8"/>
        <v>-1.490052837</v>
      </c>
      <c r="O575" s="2" t="str">
        <f t="shared" si="9"/>
        <v>Acceptable</v>
      </c>
    </row>
    <row r="576" ht="15.75" customHeight="1">
      <c r="A576" s="1" t="s">
        <v>76</v>
      </c>
      <c r="B576" s="1" t="s">
        <v>69</v>
      </c>
      <c r="C576" s="1" t="s">
        <v>27</v>
      </c>
      <c r="D576" s="1">
        <v>729.0</v>
      </c>
      <c r="E576" s="1">
        <v>722.0</v>
      </c>
      <c r="F576" s="1">
        <f t="shared" si="2"/>
        <v>-7</v>
      </c>
      <c r="G576" s="1">
        <f t="shared" si="3"/>
        <v>7</v>
      </c>
      <c r="H576" s="6">
        <f t="shared" si="4"/>
        <v>0.009602194787</v>
      </c>
      <c r="I576" s="6">
        <f t="shared" si="5"/>
        <v>0.9903978052</v>
      </c>
      <c r="J576" s="1">
        <f t="shared" si="6"/>
        <v>-7</v>
      </c>
      <c r="K576" s="1" t="str">
        <f t="shared" si="7"/>
        <v>Under Forecast</v>
      </c>
      <c r="L576" s="1">
        <f>F576</f>
        <v>-7</v>
      </c>
      <c r="M576" s="7">
        <f t="shared" si="10"/>
        <v>75.71652174</v>
      </c>
      <c r="N576" s="7">
        <f t="shared" si="8"/>
        <v>-0.09245009992</v>
      </c>
      <c r="O576" s="2" t="str">
        <f t="shared" si="9"/>
        <v>Acceptable</v>
      </c>
    </row>
    <row r="577" ht="15.75" customHeight="1">
      <c r="A577" s="1" t="s">
        <v>76</v>
      </c>
      <c r="B577" s="1" t="s">
        <v>69</v>
      </c>
      <c r="C577" s="1" t="s">
        <v>28</v>
      </c>
      <c r="D577" s="1">
        <v>752.0</v>
      </c>
      <c r="E577" s="1">
        <v>768.0</v>
      </c>
      <c r="F577" s="1">
        <f t="shared" si="2"/>
        <v>16</v>
      </c>
      <c r="G577" s="1">
        <f t="shared" si="3"/>
        <v>16</v>
      </c>
      <c r="H577" s="6">
        <f t="shared" si="4"/>
        <v>0.02127659574</v>
      </c>
      <c r="I577" s="6">
        <f t="shared" si="5"/>
        <v>0.9787234043</v>
      </c>
      <c r="J577" s="1">
        <f t="shared" si="6"/>
        <v>16</v>
      </c>
      <c r="K577" s="1" t="str">
        <f t="shared" si="7"/>
        <v>Over Forecast</v>
      </c>
      <c r="L577" s="1">
        <f>F577+J576</f>
        <v>9</v>
      </c>
      <c r="M577" s="7">
        <f t="shared" si="10"/>
        <v>75.61284722</v>
      </c>
      <c r="N577" s="7">
        <f t="shared" si="8"/>
        <v>0.1190273919</v>
      </c>
      <c r="O577" s="2" t="str">
        <f t="shared" si="9"/>
        <v>Acceptable</v>
      </c>
    </row>
    <row r="578" ht="15.75" customHeight="1">
      <c r="A578" s="1" t="s">
        <v>77</v>
      </c>
      <c r="B578" s="1" t="s">
        <v>69</v>
      </c>
      <c r="C578" s="1" t="s">
        <v>17</v>
      </c>
      <c r="D578" s="1">
        <v>330.0</v>
      </c>
      <c r="E578" s="1">
        <v>273.0</v>
      </c>
      <c r="F578" s="1">
        <f t="shared" si="2"/>
        <v>-57</v>
      </c>
      <c r="G578" s="1">
        <f t="shared" si="3"/>
        <v>57</v>
      </c>
      <c r="H578" s="6">
        <f t="shared" si="4"/>
        <v>0.1727272727</v>
      </c>
      <c r="I578" s="6">
        <f t="shared" si="5"/>
        <v>0.8272727273</v>
      </c>
      <c r="J578" s="1">
        <f t="shared" si="6"/>
        <v>-57</v>
      </c>
      <c r="K578" s="1" t="str">
        <f t="shared" si="7"/>
        <v>Under Forecast</v>
      </c>
      <c r="L578" s="1">
        <f>F578</f>
        <v>-57</v>
      </c>
      <c r="M578" s="7">
        <f t="shared" si="10"/>
        <v>75.58058925</v>
      </c>
      <c r="N578" s="7">
        <f t="shared" si="8"/>
        <v>-0.7541618895</v>
      </c>
      <c r="O578" s="2" t="str">
        <f t="shared" si="9"/>
        <v>Acceptable</v>
      </c>
    </row>
    <row r="579" ht="15.75" customHeight="1">
      <c r="A579" s="1" t="s">
        <v>77</v>
      </c>
      <c r="B579" s="1" t="s">
        <v>69</v>
      </c>
      <c r="C579" s="1" t="s">
        <v>18</v>
      </c>
      <c r="D579" s="1">
        <v>335.0</v>
      </c>
      <c r="E579" s="1">
        <v>313.0</v>
      </c>
      <c r="F579" s="1">
        <f t="shared" si="2"/>
        <v>-22</v>
      </c>
      <c r="G579" s="1">
        <f t="shared" si="3"/>
        <v>22</v>
      </c>
      <c r="H579" s="6">
        <f t="shared" si="4"/>
        <v>0.06567164179</v>
      </c>
      <c r="I579" s="6">
        <f t="shared" si="5"/>
        <v>0.9343283582</v>
      </c>
      <c r="J579" s="1">
        <f t="shared" si="6"/>
        <v>-22</v>
      </c>
      <c r="K579" s="1" t="str">
        <f t="shared" si="7"/>
        <v>Under Forecast</v>
      </c>
      <c r="L579" s="1">
        <f>F579+J578</f>
        <v>-79</v>
      </c>
      <c r="M579" s="7">
        <f t="shared" si="10"/>
        <v>75.48788927</v>
      </c>
      <c r="N579" s="7">
        <f t="shared" si="8"/>
        <v>-1.046525486</v>
      </c>
      <c r="O579" s="2" t="str">
        <f t="shared" si="9"/>
        <v>Acceptable</v>
      </c>
    </row>
    <row r="580" ht="15.75" customHeight="1">
      <c r="A580" s="1" t="s">
        <v>77</v>
      </c>
      <c r="B580" s="1" t="s">
        <v>69</v>
      </c>
      <c r="C580" s="1" t="s">
        <v>19</v>
      </c>
      <c r="D580" s="1">
        <v>376.0</v>
      </c>
      <c r="E580" s="1">
        <v>302.0</v>
      </c>
      <c r="F580" s="1">
        <f t="shared" si="2"/>
        <v>-74</v>
      </c>
      <c r="G580" s="1">
        <f t="shared" si="3"/>
        <v>74</v>
      </c>
      <c r="H580" s="6">
        <f t="shared" si="4"/>
        <v>0.1968085106</v>
      </c>
      <c r="I580" s="6">
        <f t="shared" si="5"/>
        <v>0.8031914894</v>
      </c>
      <c r="J580" s="1">
        <f t="shared" si="6"/>
        <v>-74</v>
      </c>
      <c r="K580" s="1" t="str">
        <f t="shared" si="7"/>
        <v>Under Forecast</v>
      </c>
      <c r="L580" s="1">
        <f>F580</f>
        <v>-74</v>
      </c>
      <c r="M580" s="7">
        <f t="shared" si="10"/>
        <v>75.48531952</v>
      </c>
      <c r="N580" s="7">
        <f t="shared" si="8"/>
        <v>-0.9803230678</v>
      </c>
      <c r="O580" s="2" t="str">
        <f t="shared" si="9"/>
        <v>Acceptable</v>
      </c>
    </row>
    <row r="581" ht="15.75" customHeight="1">
      <c r="A581" s="1" t="s">
        <v>77</v>
      </c>
      <c r="B581" s="1" t="s">
        <v>69</v>
      </c>
      <c r="C581" s="1" t="s">
        <v>20</v>
      </c>
      <c r="D581" s="1">
        <v>406.0</v>
      </c>
      <c r="E581" s="1">
        <v>360.0</v>
      </c>
      <c r="F581" s="1">
        <f t="shared" si="2"/>
        <v>-46</v>
      </c>
      <c r="G581" s="1">
        <f t="shared" si="3"/>
        <v>46</v>
      </c>
      <c r="H581" s="6">
        <f t="shared" si="4"/>
        <v>0.1133004926</v>
      </c>
      <c r="I581" s="6">
        <f t="shared" si="5"/>
        <v>0.8866995074</v>
      </c>
      <c r="J581" s="1">
        <f t="shared" si="6"/>
        <v>-46</v>
      </c>
      <c r="K581" s="1" t="str">
        <f t="shared" si="7"/>
        <v>Under Forecast</v>
      </c>
      <c r="L581" s="1">
        <f>F581+J580</f>
        <v>-120</v>
      </c>
      <c r="M581" s="7">
        <f t="shared" si="10"/>
        <v>75.43448276</v>
      </c>
      <c r="N581" s="7">
        <f t="shared" si="8"/>
        <v>-1.590784421</v>
      </c>
      <c r="O581" s="2" t="str">
        <f t="shared" si="9"/>
        <v>Acceptable</v>
      </c>
    </row>
    <row r="582" ht="15.75" customHeight="1">
      <c r="A582" s="1" t="s">
        <v>77</v>
      </c>
      <c r="B582" s="1" t="s">
        <v>69</v>
      </c>
      <c r="C582" s="1" t="s">
        <v>21</v>
      </c>
      <c r="D582" s="1">
        <v>425.0</v>
      </c>
      <c r="E582" s="1">
        <v>463.0</v>
      </c>
      <c r="F582" s="1">
        <f t="shared" si="2"/>
        <v>38</v>
      </c>
      <c r="G582" s="1">
        <f t="shared" si="3"/>
        <v>38</v>
      </c>
      <c r="H582" s="6">
        <f t="shared" si="4"/>
        <v>0.08941176471</v>
      </c>
      <c r="I582" s="6">
        <f t="shared" si="5"/>
        <v>0.9105882353</v>
      </c>
      <c r="J582" s="1">
        <f t="shared" si="6"/>
        <v>38</v>
      </c>
      <c r="K582" s="1" t="str">
        <f t="shared" si="7"/>
        <v>Over Forecast</v>
      </c>
      <c r="L582" s="1">
        <f>F582</f>
        <v>38</v>
      </c>
      <c r="M582" s="7">
        <f t="shared" si="10"/>
        <v>75.37005164</v>
      </c>
      <c r="N582" s="7">
        <f t="shared" si="8"/>
        <v>0.5041790363</v>
      </c>
      <c r="O582" s="2" t="str">
        <f t="shared" si="9"/>
        <v>Acceptable</v>
      </c>
    </row>
    <row r="583" ht="15.75" customHeight="1">
      <c r="A583" s="1" t="s">
        <v>77</v>
      </c>
      <c r="B583" s="1" t="s">
        <v>69</v>
      </c>
      <c r="C583" s="1" t="s">
        <v>22</v>
      </c>
      <c r="D583" s="1">
        <v>374.0</v>
      </c>
      <c r="E583" s="1">
        <v>351.0</v>
      </c>
      <c r="F583" s="1">
        <f t="shared" si="2"/>
        <v>-23</v>
      </c>
      <c r="G583" s="1">
        <f t="shared" si="3"/>
        <v>23</v>
      </c>
      <c r="H583" s="6">
        <f t="shared" si="4"/>
        <v>0.0614973262</v>
      </c>
      <c r="I583" s="6">
        <f t="shared" si="5"/>
        <v>0.9385026738</v>
      </c>
      <c r="J583" s="1">
        <f t="shared" si="6"/>
        <v>-23</v>
      </c>
      <c r="K583" s="1" t="str">
        <f t="shared" si="7"/>
        <v>Under Forecast</v>
      </c>
      <c r="L583" s="1">
        <f>F583+J582</f>
        <v>15</v>
      </c>
      <c r="M583" s="7">
        <f t="shared" si="10"/>
        <v>75.28006873</v>
      </c>
      <c r="N583" s="7">
        <f t="shared" si="8"/>
        <v>0.1992559286</v>
      </c>
      <c r="O583" s="2" t="str">
        <f t="shared" si="9"/>
        <v>Acceptable</v>
      </c>
    </row>
    <row r="584" ht="15.75" customHeight="1">
      <c r="A584" s="1" t="s">
        <v>77</v>
      </c>
      <c r="B584" s="1" t="s">
        <v>69</v>
      </c>
      <c r="C584" s="1" t="s">
        <v>23</v>
      </c>
      <c r="D584" s="1">
        <v>364.0</v>
      </c>
      <c r="E584" s="1">
        <v>356.0</v>
      </c>
      <c r="F584" s="1">
        <f t="shared" si="2"/>
        <v>-8</v>
      </c>
      <c r="G584" s="1">
        <f t="shared" si="3"/>
        <v>8</v>
      </c>
      <c r="H584" s="6">
        <f t="shared" si="4"/>
        <v>0.02197802198</v>
      </c>
      <c r="I584" s="6">
        <f t="shared" si="5"/>
        <v>0.978021978</v>
      </c>
      <c r="J584" s="1">
        <f t="shared" si="6"/>
        <v>-8</v>
      </c>
      <c r="K584" s="1" t="str">
        <f t="shared" si="7"/>
        <v>Under Forecast</v>
      </c>
      <c r="L584" s="1">
        <f>F584</f>
        <v>-8</v>
      </c>
      <c r="M584" s="7">
        <f t="shared" si="10"/>
        <v>75.16466552</v>
      </c>
      <c r="N584" s="7">
        <f t="shared" si="8"/>
        <v>-0.1064329887</v>
      </c>
      <c r="O584" s="2" t="str">
        <f t="shared" si="9"/>
        <v>Acceptable</v>
      </c>
    </row>
    <row r="585" ht="15.75" customHeight="1">
      <c r="A585" s="1" t="s">
        <v>77</v>
      </c>
      <c r="B585" s="1" t="s">
        <v>69</v>
      </c>
      <c r="C585" s="1" t="s">
        <v>24</v>
      </c>
      <c r="D585" s="1">
        <v>397.0</v>
      </c>
      <c r="E585" s="1">
        <v>347.0</v>
      </c>
      <c r="F585" s="1">
        <f t="shared" si="2"/>
        <v>-50</v>
      </c>
      <c r="G585" s="1">
        <f t="shared" si="3"/>
        <v>50</v>
      </c>
      <c r="H585" s="6">
        <f t="shared" si="4"/>
        <v>0.1259445844</v>
      </c>
      <c r="I585" s="6">
        <f t="shared" si="5"/>
        <v>0.8740554156</v>
      </c>
      <c r="J585" s="1">
        <f t="shared" si="6"/>
        <v>-50</v>
      </c>
      <c r="K585" s="1" t="str">
        <f t="shared" si="7"/>
        <v>Under Forecast</v>
      </c>
      <c r="L585" s="1">
        <f>F585+J584</f>
        <v>-58</v>
      </c>
      <c r="M585" s="7">
        <f t="shared" si="10"/>
        <v>75.12157534</v>
      </c>
      <c r="N585" s="7">
        <f t="shared" si="8"/>
        <v>-0.7720817852</v>
      </c>
      <c r="O585" s="2" t="str">
        <f t="shared" si="9"/>
        <v>Acceptable</v>
      </c>
    </row>
    <row r="586" ht="15.75" customHeight="1">
      <c r="A586" s="1" t="s">
        <v>77</v>
      </c>
      <c r="B586" s="1" t="s">
        <v>69</v>
      </c>
      <c r="C586" s="1" t="s">
        <v>25</v>
      </c>
      <c r="D586" s="1">
        <v>370.0</v>
      </c>
      <c r="E586" s="1">
        <v>321.0</v>
      </c>
      <c r="F586" s="1">
        <f t="shared" si="2"/>
        <v>-49</v>
      </c>
      <c r="G586" s="1">
        <f t="shared" si="3"/>
        <v>49</v>
      </c>
      <c r="H586" s="6">
        <f t="shared" si="4"/>
        <v>0.1324324324</v>
      </c>
      <c r="I586" s="6">
        <f t="shared" si="5"/>
        <v>0.8675675676</v>
      </c>
      <c r="J586" s="1">
        <f t="shared" si="6"/>
        <v>-49</v>
      </c>
      <c r="K586" s="1" t="str">
        <f t="shared" si="7"/>
        <v>Under Forecast</v>
      </c>
      <c r="L586" s="1">
        <f>F586</f>
        <v>-49</v>
      </c>
      <c r="M586" s="7">
        <f t="shared" si="10"/>
        <v>75.07692308</v>
      </c>
      <c r="N586" s="7">
        <f t="shared" si="8"/>
        <v>-0.6526639344</v>
      </c>
      <c r="O586" s="2" t="str">
        <f t="shared" si="9"/>
        <v>Acceptable</v>
      </c>
    </row>
    <row r="587" ht="15.75" customHeight="1">
      <c r="A587" s="1" t="s">
        <v>77</v>
      </c>
      <c r="B587" s="1" t="s">
        <v>69</v>
      </c>
      <c r="C587" s="1" t="s">
        <v>26</v>
      </c>
      <c r="D587" s="1">
        <v>333.0</v>
      </c>
      <c r="E587" s="1">
        <v>331.0</v>
      </c>
      <c r="F587" s="1">
        <f t="shared" si="2"/>
        <v>-2</v>
      </c>
      <c r="G587" s="1">
        <f t="shared" si="3"/>
        <v>2</v>
      </c>
      <c r="H587" s="6">
        <f t="shared" si="4"/>
        <v>0.006006006006</v>
      </c>
      <c r="I587" s="6">
        <f t="shared" si="5"/>
        <v>0.993993994</v>
      </c>
      <c r="J587" s="1">
        <f t="shared" si="6"/>
        <v>-2</v>
      </c>
      <c r="K587" s="1" t="str">
        <f t="shared" si="7"/>
        <v>Under Forecast</v>
      </c>
      <c r="L587" s="1">
        <f>F587+J586</f>
        <v>-51</v>
      </c>
      <c r="M587" s="7">
        <f t="shared" si="10"/>
        <v>74.95221843</v>
      </c>
      <c r="N587" s="7">
        <f t="shared" si="8"/>
        <v>-0.6804334957</v>
      </c>
      <c r="O587" s="2" t="str">
        <f t="shared" si="9"/>
        <v>Acceptable</v>
      </c>
    </row>
    <row r="588" ht="15.75" customHeight="1">
      <c r="A588" s="1" t="s">
        <v>77</v>
      </c>
      <c r="B588" s="1" t="s">
        <v>69</v>
      </c>
      <c r="C588" s="1" t="s">
        <v>27</v>
      </c>
      <c r="D588" s="1">
        <v>337.0</v>
      </c>
      <c r="E588" s="1">
        <v>329.0</v>
      </c>
      <c r="F588" s="1">
        <f t="shared" si="2"/>
        <v>-8</v>
      </c>
      <c r="G588" s="1">
        <f t="shared" si="3"/>
        <v>8</v>
      </c>
      <c r="H588" s="6">
        <f t="shared" si="4"/>
        <v>0.0237388724</v>
      </c>
      <c r="I588" s="6">
        <f t="shared" si="5"/>
        <v>0.9762611276</v>
      </c>
      <c r="J588" s="1">
        <f t="shared" si="6"/>
        <v>-8</v>
      </c>
      <c r="K588" s="1" t="str">
        <f t="shared" si="7"/>
        <v>Under Forecast</v>
      </c>
      <c r="L588" s="1">
        <f>F588</f>
        <v>-8</v>
      </c>
      <c r="M588" s="7">
        <f t="shared" si="10"/>
        <v>74.83816014</v>
      </c>
      <c r="N588" s="7">
        <f t="shared" si="8"/>
        <v>-0.1068973367</v>
      </c>
      <c r="O588" s="2" t="str">
        <f t="shared" si="9"/>
        <v>Acceptable</v>
      </c>
    </row>
    <row r="589" ht="15.75" customHeight="1">
      <c r="A589" s="1" t="s">
        <v>77</v>
      </c>
      <c r="B589" s="1" t="s">
        <v>69</v>
      </c>
      <c r="C589" s="1" t="s">
        <v>28</v>
      </c>
      <c r="D589" s="1">
        <v>332.0</v>
      </c>
      <c r="E589" s="1">
        <v>363.0</v>
      </c>
      <c r="F589" s="1">
        <f t="shared" si="2"/>
        <v>31</v>
      </c>
      <c r="G589" s="1">
        <f t="shared" si="3"/>
        <v>31</v>
      </c>
      <c r="H589" s="6">
        <f t="shared" si="4"/>
        <v>0.09337349398</v>
      </c>
      <c r="I589" s="6">
        <f t="shared" si="5"/>
        <v>0.906626506</v>
      </c>
      <c r="J589" s="1">
        <f t="shared" si="6"/>
        <v>31</v>
      </c>
      <c r="K589" s="1" t="str">
        <f t="shared" si="7"/>
        <v>Over Forecast</v>
      </c>
      <c r="L589" s="1">
        <f>F589+J588</f>
        <v>23</v>
      </c>
      <c r="M589" s="7">
        <f t="shared" si="10"/>
        <v>74.76360544</v>
      </c>
      <c r="N589" s="7">
        <f t="shared" si="8"/>
        <v>0.307636314</v>
      </c>
      <c r="O589" s="2" t="str">
        <f t="shared" si="9"/>
        <v>Acceptable</v>
      </c>
    </row>
    <row r="590" ht="15.75" customHeight="1">
      <c r="A590" s="1" t="s">
        <v>78</v>
      </c>
      <c r="B590" s="1" t="s">
        <v>69</v>
      </c>
      <c r="C590" s="1" t="s">
        <v>17</v>
      </c>
      <c r="D590" s="1">
        <v>437.0</v>
      </c>
      <c r="E590" s="1">
        <v>444.0</v>
      </c>
      <c r="F590" s="1">
        <f t="shared" si="2"/>
        <v>7</v>
      </c>
      <c r="G590" s="1">
        <f t="shared" si="3"/>
        <v>7</v>
      </c>
      <c r="H590" s="6">
        <f t="shared" si="4"/>
        <v>0.01601830664</v>
      </c>
      <c r="I590" s="6">
        <f t="shared" si="5"/>
        <v>0.9839816934</v>
      </c>
      <c r="J590" s="1">
        <f t="shared" si="6"/>
        <v>7</v>
      </c>
      <c r="K590" s="1" t="str">
        <f t="shared" si="7"/>
        <v>Over Forecast</v>
      </c>
      <c r="L590" s="1">
        <f>F590</f>
        <v>7</v>
      </c>
      <c r="M590" s="7">
        <f t="shared" si="10"/>
        <v>74.64855688</v>
      </c>
      <c r="N590" s="7">
        <f t="shared" si="8"/>
        <v>0.09377274381</v>
      </c>
      <c r="O590" s="2" t="str">
        <f t="shared" si="9"/>
        <v>Acceptable</v>
      </c>
    </row>
    <row r="591" ht="15.75" customHeight="1">
      <c r="A591" s="1" t="s">
        <v>78</v>
      </c>
      <c r="B591" s="1" t="s">
        <v>69</v>
      </c>
      <c r="C591" s="1" t="s">
        <v>18</v>
      </c>
      <c r="D591" s="1">
        <v>486.0</v>
      </c>
      <c r="E591" s="1">
        <v>524.0</v>
      </c>
      <c r="F591" s="1">
        <f t="shared" si="2"/>
        <v>38</v>
      </c>
      <c r="G591" s="1">
        <f t="shared" si="3"/>
        <v>38</v>
      </c>
      <c r="H591" s="6">
        <f t="shared" si="4"/>
        <v>0.07818930041</v>
      </c>
      <c r="I591" s="6">
        <f t="shared" si="5"/>
        <v>0.9218106996</v>
      </c>
      <c r="J591" s="1">
        <f t="shared" si="6"/>
        <v>38</v>
      </c>
      <c r="K591" s="1" t="str">
        <f t="shared" si="7"/>
        <v>Over Forecast</v>
      </c>
      <c r="L591" s="1">
        <f>F591+J590</f>
        <v>45</v>
      </c>
      <c r="M591" s="7">
        <f t="shared" si="10"/>
        <v>74.58644068</v>
      </c>
      <c r="N591" s="7">
        <f t="shared" si="8"/>
        <v>0.6033268191</v>
      </c>
      <c r="O591" s="2" t="str">
        <f t="shared" si="9"/>
        <v>Acceptable</v>
      </c>
    </row>
    <row r="592" ht="15.75" customHeight="1">
      <c r="A592" s="1" t="s">
        <v>78</v>
      </c>
      <c r="B592" s="1" t="s">
        <v>69</v>
      </c>
      <c r="C592" s="1" t="s">
        <v>19</v>
      </c>
      <c r="D592" s="1">
        <v>482.0</v>
      </c>
      <c r="E592" s="1">
        <v>534.0</v>
      </c>
      <c r="F592" s="1">
        <f t="shared" si="2"/>
        <v>52</v>
      </c>
      <c r="G592" s="1">
        <f t="shared" si="3"/>
        <v>52</v>
      </c>
      <c r="H592" s="6">
        <f t="shared" si="4"/>
        <v>0.1078838174</v>
      </c>
      <c r="I592" s="6">
        <f t="shared" si="5"/>
        <v>0.8921161826</v>
      </c>
      <c r="J592" s="1">
        <f t="shared" si="6"/>
        <v>52</v>
      </c>
      <c r="K592" s="1" t="str">
        <f t="shared" si="7"/>
        <v>Over Forecast</v>
      </c>
      <c r="L592" s="1">
        <f>F592</f>
        <v>52</v>
      </c>
      <c r="M592" s="7">
        <f t="shared" si="10"/>
        <v>74.54822335</v>
      </c>
      <c r="N592" s="7">
        <f t="shared" si="8"/>
        <v>0.6975350674</v>
      </c>
      <c r="O592" s="2" t="str">
        <f t="shared" si="9"/>
        <v>Acceptable</v>
      </c>
    </row>
    <row r="593" ht="15.75" customHeight="1">
      <c r="A593" s="1" t="s">
        <v>78</v>
      </c>
      <c r="B593" s="1" t="s">
        <v>69</v>
      </c>
      <c r="C593" s="1" t="s">
        <v>20</v>
      </c>
      <c r="D593" s="1">
        <v>550.0</v>
      </c>
      <c r="E593" s="1">
        <v>623.0</v>
      </c>
      <c r="F593" s="1">
        <f t="shared" si="2"/>
        <v>73</v>
      </c>
      <c r="G593" s="1">
        <f t="shared" si="3"/>
        <v>73</v>
      </c>
      <c r="H593" s="6">
        <f t="shared" si="4"/>
        <v>0.1327272727</v>
      </c>
      <c r="I593" s="6">
        <f t="shared" si="5"/>
        <v>0.8672727273</v>
      </c>
      <c r="J593" s="1">
        <f t="shared" si="6"/>
        <v>73</v>
      </c>
      <c r="K593" s="1" t="str">
        <f t="shared" si="7"/>
        <v>Over Forecast</v>
      </c>
      <c r="L593" s="1">
        <f>F593+J592</f>
        <v>125</v>
      </c>
      <c r="M593" s="7">
        <f t="shared" si="10"/>
        <v>74.54560811</v>
      </c>
      <c r="N593" s="7">
        <f t="shared" si="8"/>
        <v>1.676825814</v>
      </c>
      <c r="O593" s="2" t="str">
        <f t="shared" si="9"/>
        <v>Acceptable</v>
      </c>
    </row>
    <row r="594" ht="15.75" customHeight="1">
      <c r="A594" s="1" t="s">
        <v>78</v>
      </c>
      <c r="B594" s="1" t="s">
        <v>69</v>
      </c>
      <c r="C594" s="1" t="s">
        <v>21</v>
      </c>
      <c r="D594" s="1">
        <v>474.0</v>
      </c>
      <c r="E594" s="1">
        <v>494.0</v>
      </c>
      <c r="F594" s="1">
        <f t="shared" si="2"/>
        <v>20</v>
      </c>
      <c r="G594" s="1">
        <f t="shared" si="3"/>
        <v>20</v>
      </c>
      <c r="H594" s="6">
        <f t="shared" si="4"/>
        <v>0.04219409283</v>
      </c>
      <c r="I594" s="6">
        <f t="shared" si="5"/>
        <v>0.9578059072</v>
      </c>
      <c r="J594" s="1">
        <f t="shared" si="6"/>
        <v>20</v>
      </c>
      <c r="K594" s="1" t="str">
        <f t="shared" si="7"/>
        <v>Over Forecast</v>
      </c>
      <c r="L594" s="1">
        <f>F594</f>
        <v>20</v>
      </c>
      <c r="M594" s="7">
        <f t="shared" si="10"/>
        <v>74.45362563</v>
      </c>
      <c r="N594" s="7">
        <f t="shared" si="8"/>
        <v>0.2686235872</v>
      </c>
      <c r="O594" s="2" t="str">
        <f t="shared" si="9"/>
        <v>Acceptable</v>
      </c>
    </row>
    <row r="595" ht="15.75" customHeight="1">
      <c r="A595" s="1" t="s">
        <v>78</v>
      </c>
      <c r="B595" s="1" t="s">
        <v>69</v>
      </c>
      <c r="C595" s="1" t="s">
        <v>22</v>
      </c>
      <c r="D595" s="1">
        <v>485.0</v>
      </c>
      <c r="E595" s="1">
        <v>471.0</v>
      </c>
      <c r="F595" s="1">
        <f t="shared" si="2"/>
        <v>-14</v>
      </c>
      <c r="G595" s="1">
        <f t="shared" si="3"/>
        <v>14</v>
      </c>
      <c r="H595" s="6">
        <f t="shared" si="4"/>
        <v>0.02886597938</v>
      </c>
      <c r="I595" s="6">
        <f t="shared" si="5"/>
        <v>0.9711340206</v>
      </c>
      <c r="J595" s="1">
        <f t="shared" si="6"/>
        <v>-14</v>
      </c>
      <c r="K595" s="1" t="str">
        <f t="shared" si="7"/>
        <v>Under Forecast</v>
      </c>
      <c r="L595" s="1">
        <f>F595+J594</f>
        <v>6</v>
      </c>
      <c r="M595" s="7">
        <f t="shared" si="10"/>
        <v>74.35185185</v>
      </c>
      <c r="N595" s="7">
        <f t="shared" si="8"/>
        <v>0.08069738481</v>
      </c>
      <c r="O595" s="2" t="str">
        <f t="shared" si="9"/>
        <v>Acceptable</v>
      </c>
    </row>
    <row r="596" ht="15.75" customHeight="1">
      <c r="A596" s="1" t="s">
        <v>78</v>
      </c>
      <c r="B596" s="1" t="s">
        <v>69</v>
      </c>
      <c r="C596" s="1" t="s">
        <v>23</v>
      </c>
      <c r="D596" s="1">
        <v>583.0</v>
      </c>
      <c r="E596" s="1">
        <v>549.0</v>
      </c>
      <c r="F596" s="1">
        <f t="shared" si="2"/>
        <v>-34</v>
      </c>
      <c r="G596" s="1">
        <f t="shared" si="3"/>
        <v>34</v>
      </c>
      <c r="H596" s="6">
        <f t="shared" si="4"/>
        <v>0.05831903945</v>
      </c>
      <c r="I596" s="6">
        <f t="shared" si="5"/>
        <v>0.9416809605</v>
      </c>
      <c r="J596" s="1">
        <f t="shared" si="6"/>
        <v>-34</v>
      </c>
      <c r="K596" s="1" t="str">
        <f t="shared" si="7"/>
        <v>Under Forecast</v>
      </c>
      <c r="L596" s="1">
        <f>F596</f>
        <v>-34</v>
      </c>
      <c r="M596" s="7">
        <f t="shared" si="10"/>
        <v>74.28403361</v>
      </c>
      <c r="N596" s="7">
        <f t="shared" si="8"/>
        <v>-0.457702663</v>
      </c>
      <c r="O596" s="2" t="str">
        <f t="shared" si="9"/>
        <v>Acceptable</v>
      </c>
    </row>
    <row r="597" ht="15.75" customHeight="1">
      <c r="A597" s="1" t="s">
        <v>78</v>
      </c>
      <c r="B597" s="1" t="s">
        <v>69</v>
      </c>
      <c r="C597" s="1" t="s">
        <v>24</v>
      </c>
      <c r="D597" s="1">
        <v>508.0</v>
      </c>
      <c r="E597" s="1">
        <v>551.0</v>
      </c>
      <c r="F597" s="1">
        <f t="shared" si="2"/>
        <v>43</v>
      </c>
      <c r="G597" s="1">
        <f t="shared" si="3"/>
        <v>43</v>
      </c>
      <c r="H597" s="6">
        <f t="shared" si="4"/>
        <v>0.08464566929</v>
      </c>
      <c r="I597" s="6">
        <f t="shared" si="5"/>
        <v>0.9153543307</v>
      </c>
      <c r="J597" s="1">
        <f t="shared" si="6"/>
        <v>43</v>
      </c>
      <c r="K597" s="1" t="str">
        <f t="shared" si="7"/>
        <v>Over Forecast</v>
      </c>
      <c r="L597" s="1">
        <f>F597+J596</f>
        <v>9</v>
      </c>
      <c r="M597" s="7">
        <f t="shared" si="10"/>
        <v>74.23154362</v>
      </c>
      <c r="N597" s="7">
        <f t="shared" si="8"/>
        <v>0.1212422585</v>
      </c>
      <c r="O597" s="2" t="str">
        <f t="shared" si="9"/>
        <v>Acceptable</v>
      </c>
    </row>
    <row r="598" ht="15.75" customHeight="1">
      <c r="A598" s="1" t="s">
        <v>78</v>
      </c>
      <c r="B598" s="1" t="s">
        <v>69</v>
      </c>
      <c r="C598" s="1" t="s">
        <v>25</v>
      </c>
      <c r="D598" s="1">
        <v>494.0</v>
      </c>
      <c r="E598" s="1">
        <v>527.0</v>
      </c>
      <c r="F598" s="1">
        <f t="shared" si="2"/>
        <v>33</v>
      </c>
      <c r="G598" s="1">
        <f t="shared" si="3"/>
        <v>33</v>
      </c>
      <c r="H598" s="6">
        <f t="shared" si="4"/>
        <v>0.06680161943</v>
      </c>
      <c r="I598" s="6">
        <f t="shared" si="5"/>
        <v>0.9331983806</v>
      </c>
      <c r="J598" s="1">
        <f t="shared" si="6"/>
        <v>33</v>
      </c>
      <c r="K598" s="1" t="str">
        <f t="shared" si="7"/>
        <v>Over Forecast</v>
      </c>
      <c r="L598" s="1">
        <f>F598</f>
        <v>33</v>
      </c>
      <c r="M598" s="7">
        <f t="shared" si="10"/>
        <v>74.16247906</v>
      </c>
      <c r="N598" s="7">
        <f t="shared" si="8"/>
        <v>0.4449689441</v>
      </c>
      <c r="O598" s="2" t="str">
        <f t="shared" si="9"/>
        <v>Acceptable</v>
      </c>
    </row>
    <row r="599" ht="15.75" customHeight="1">
      <c r="A599" s="1" t="s">
        <v>78</v>
      </c>
      <c r="B599" s="1" t="s">
        <v>69</v>
      </c>
      <c r="C599" s="1" t="s">
        <v>26</v>
      </c>
      <c r="D599" s="1">
        <v>416.0</v>
      </c>
      <c r="E599" s="1">
        <v>415.0</v>
      </c>
      <c r="F599" s="1">
        <f t="shared" si="2"/>
        <v>-1</v>
      </c>
      <c r="G599" s="1">
        <f t="shared" si="3"/>
        <v>1</v>
      </c>
      <c r="H599" s="6">
        <f t="shared" si="4"/>
        <v>0.002403846154</v>
      </c>
      <c r="I599" s="6">
        <f t="shared" si="5"/>
        <v>0.9975961538</v>
      </c>
      <c r="J599" s="1">
        <f t="shared" si="6"/>
        <v>-1</v>
      </c>
      <c r="K599" s="1" t="str">
        <f t="shared" si="7"/>
        <v>Under Forecast</v>
      </c>
      <c r="L599" s="1">
        <f>F599+J598</f>
        <v>32</v>
      </c>
      <c r="M599" s="7">
        <f t="shared" si="10"/>
        <v>74.04013378</v>
      </c>
      <c r="N599" s="7">
        <f t="shared" si="8"/>
        <v>0.4321980305</v>
      </c>
      <c r="O599" s="2" t="str">
        <f t="shared" si="9"/>
        <v>Acceptable</v>
      </c>
    </row>
    <row r="600" ht="15.75" customHeight="1">
      <c r="A600" s="1" t="s">
        <v>78</v>
      </c>
      <c r="B600" s="1" t="s">
        <v>69</v>
      </c>
      <c r="C600" s="1" t="s">
        <v>27</v>
      </c>
      <c r="D600" s="1">
        <v>449.0</v>
      </c>
      <c r="E600" s="1">
        <v>415.0</v>
      </c>
      <c r="F600" s="1">
        <f t="shared" si="2"/>
        <v>-34</v>
      </c>
      <c r="G600" s="1">
        <f t="shared" si="3"/>
        <v>34</v>
      </c>
      <c r="H600" s="6">
        <f t="shared" si="4"/>
        <v>0.07572383073</v>
      </c>
      <c r="I600" s="6">
        <f t="shared" si="5"/>
        <v>0.9242761693</v>
      </c>
      <c r="J600" s="1">
        <f t="shared" si="6"/>
        <v>-34</v>
      </c>
      <c r="K600" s="1" t="str">
        <f t="shared" si="7"/>
        <v>Under Forecast</v>
      </c>
      <c r="L600" s="1">
        <f>F600</f>
        <v>-34</v>
      </c>
      <c r="M600" s="7">
        <f t="shared" si="10"/>
        <v>73.97328881</v>
      </c>
      <c r="N600" s="7">
        <f t="shared" si="8"/>
        <v>-0.4596253667</v>
      </c>
      <c r="O600" s="2" t="str">
        <f t="shared" si="9"/>
        <v>Acceptable</v>
      </c>
    </row>
    <row r="601" ht="15.75" customHeight="1">
      <c r="A601" s="1" t="s">
        <v>78</v>
      </c>
      <c r="B601" s="1" t="s">
        <v>69</v>
      </c>
      <c r="C601" s="1" t="s">
        <v>28</v>
      </c>
      <c r="D601" s="1">
        <v>417.0</v>
      </c>
      <c r="E601" s="1">
        <v>379.0</v>
      </c>
      <c r="F601" s="1">
        <f t="shared" si="2"/>
        <v>-38</v>
      </c>
      <c r="G601" s="1">
        <f t="shared" si="3"/>
        <v>38</v>
      </c>
      <c r="H601" s="6">
        <f t="shared" si="4"/>
        <v>0.09112709832</v>
      </c>
      <c r="I601" s="6">
        <f t="shared" si="5"/>
        <v>0.9088729017</v>
      </c>
      <c r="J601" s="1">
        <f t="shared" si="6"/>
        <v>-38</v>
      </c>
      <c r="K601" s="1" t="str">
        <f t="shared" si="7"/>
        <v>Under Forecast</v>
      </c>
      <c r="L601" s="1">
        <f>F601+J600</f>
        <v>-72</v>
      </c>
      <c r="M601" s="7">
        <f t="shared" si="10"/>
        <v>73.91333333</v>
      </c>
      <c r="N601" s="7">
        <f t="shared" si="8"/>
        <v>-0.974113827</v>
      </c>
      <c r="O601" s="2" t="str">
        <f t="shared" si="9"/>
        <v>Acceptable</v>
      </c>
    </row>
    <row r="602" ht="15.75" customHeight="1">
      <c r="A602" s="1" t="s">
        <v>79</v>
      </c>
      <c r="B602" s="1" t="s">
        <v>69</v>
      </c>
      <c r="C602" s="1" t="s">
        <v>17</v>
      </c>
      <c r="D602" s="1">
        <v>381.0</v>
      </c>
      <c r="E602" s="1">
        <v>435.0</v>
      </c>
      <c r="F602" s="1">
        <f t="shared" si="2"/>
        <v>54</v>
      </c>
      <c r="G602" s="1">
        <f t="shared" si="3"/>
        <v>54</v>
      </c>
      <c r="H602" s="6">
        <f t="shared" si="4"/>
        <v>0.1417322835</v>
      </c>
      <c r="I602" s="6">
        <f t="shared" si="5"/>
        <v>0.8582677165</v>
      </c>
      <c r="J602" s="1">
        <f t="shared" si="6"/>
        <v>54</v>
      </c>
      <c r="K602" s="1" t="str">
        <f t="shared" si="7"/>
        <v>Over Forecast</v>
      </c>
      <c r="L602" s="1">
        <f>F602</f>
        <v>54</v>
      </c>
      <c r="M602" s="7">
        <f t="shared" si="10"/>
        <v>73.88019967</v>
      </c>
      <c r="N602" s="7">
        <f t="shared" si="8"/>
        <v>0.7309130219</v>
      </c>
      <c r="O602" s="2" t="str">
        <f t="shared" si="9"/>
        <v>Acceptable</v>
      </c>
    </row>
    <row r="603" ht="15.75" customHeight="1">
      <c r="A603" s="1" t="s">
        <v>79</v>
      </c>
      <c r="B603" s="1" t="s">
        <v>69</v>
      </c>
      <c r="C603" s="1" t="s">
        <v>18</v>
      </c>
      <c r="D603" s="1">
        <v>385.0</v>
      </c>
      <c r="E603" s="1">
        <v>407.0</v>
      </c>
      <c r="F603" s="1">
        <f t="shared" si="2"/>
        <v>22</v>
      </c>
      <c r="G603" s="1">
        <f t="shared" si="3"/>
        <v>22</v>
      </c>
      <c r="H603" s="6">
        <f t="shared" si="4"/>
        <v>0.05714285714</v>
      </c>
      <c r="I603" s="6">
        <f t="shared" si="5"/>
        <v>0.9428571429</v>
      </c>
      <c r="J603" s="1">
        <f t="shared" si="6"/>
        <v>22</v>
      </c>
      <c r="K603" s="1" t="str">
        <f t="shared" si="7"/>
        <v>Over Forecast</v>
      </c>
      <c r="L603" s="1">
        <f>F603+J602</f>
        <v>76</v>
      </c>
      <c r="M603" s="7">
        <f t="shared" si="10"/>
        <v>73.79401993</v>
      </c>
      <c r="N603" s="7">
        <f t="shared" si="8"/>
        <v>1.029893751</v>
      </c>
      <c r="O603" s="2" t="str">
        <f t="shared" si="9"/>
        <v>Acceptable</v>
      </c>
    </row>
    <row r="604" ht="15.75" customHeight="1">
      <c r="A604" s="1" t="s">
        <v>79</v>
      </c>
      <c r="B604" s="1" t="s">
        <v>69</v>
      </c>
      <c r="C604" s="1" t="s">
        <v>19</v>
      </c>
      <c r="D604" s="1">
        <v>456.0</v>
      </c>
      <c r="E604" s="1">
        <v>393.0</v>
      </c>
      <c r="F604" s="1">
        <f t="shared" si="2"/>
        <v>-63</v>
      </c>
      <c r="G604" s="1">
        <f t="shared" si="3"/>
        <v>63</v>
      </c>
      <c r="H604" s="6">
        <f t="shared" si="4"/>
        <v>0.1381578947</v>
      </c>
      <c r="I604" s="6">
        <f t="shared" si="5"/>
        <v>0.8618421053</v>
      </c>
      <c r="J604" s="1">
        <f t="shared" si="6"/>
        <v>-63</v>
      </c>
      <c r="K604" s="1" t="str">
        <f t="shared" si="7"/>
        <v>Under Forecast</v>
      </c>
      <c r="L604" s="1">
        <f>F604</f>
        <v>-63</v>
      </c>
      <c r="M604" s="7">
        <f t="shared" si="10"/>
        <v>73.7761194</v>
      </c>
      <c r="N604" s="7">
        <f t="shared" si="8"/>
        <v>-0.8539348574</v>
      </c>
      <c r="O604" s="2" t="str">
        <f t="shared" si="9"/>
        <v>Acceptable</v>
      </c>
    </row>
    <row r="605" ht="15.75" customHeight="1">
      <c r="A605" s="1" t="s">
        <v>79</v>
      </c>
      <c r="B605" s="1" t="s">
        <v>69</v>
      </c>
      <c r="C605" s="1" t="s">
        <v>20</v>
      </c>
      <c r="D605" s="1">
        <v>458.0</v>
      </c>
      <c r="E605" s="1">
        <v>520.0</v>
      </c>
      <c r="F605" s="1">
        <f t="shared" si="2"/>
        <v>62</v>
      </c>
      <c r="G605" s="1">
        <f t="shared" si="3"/>
        <v>62</v>
      </c>
      <c r="H605" s="6">
        <f t="shared" si="4"/>
        <v>0.135371179</v>
      </c>
      <c r="I605" s="6">
        <f t="shared" si="5"/>
        <v>0.864628821</v>
      </c>
      <c r="J605" s="1">
        <f t="shared" si="6"/>
        <v>62</v>
      </c>
      <c r="K605" s="1" t="str">
        <f t="shared" si="7"/>
        <v>Over Forecast</v>
      </c>
      <c r="L605" s="1">
        <f>F605+J604</f>
        <v>-1</v>
      </c>
      <c r="M605" s="7">
        <f t="shared" si="10"/>
        <v>73.75662252</v>
      </c>
      <c r="N605" s="7">
        <f t="shared" si="8"/>
        <v>-0.01355810456</v>
      </c>
      <c r="O605" s="2" t="str">
        <f t="shared" si="9"/>
        <v>Acceptable</v>
      </c>
    </row>
    <row r="606" ht="15.75" customHeight="1">
      <c r="A606" s="1" t="s">
        <v>79</v>
      </c>
      <c r="B606" s="1" t="s">
        <v>69</v>
      </c>
      <c r="C606" s="1" t="s">
        <v>21</v>
      </c>
      <c r="D606" s="1">
        <v>423.0</v>
      </c>
      <c r="E606" s="1">
        <v>473.0</v>
      </c>
      <c r="F606" s="1">
        <f t="shared" si="2"/>
        <v>50</v>
      </c>
      <c r="G606" s="1">
        <f t="shared" si="3"/>
        <v>50</v>
      </c>
      <c r="H606" s="6">
        <f t="shared" si="4"/>
        <v>0.1182033097</v>
      </c>
      <c r="I606" s="6">
        <f t="shared" si="5"/>
        <v>0.8817966903</v>
      </c>
      <c r="J606" s="1">
        <f t="shared" si="6"/>
        <v>50</v>
      </c>
      <c r="K606" s="1" t="str">
        <f t="shared" si="7"/>
        <v>Over Forecast</v>
      </c>
      <c r="L606" s="1">
        <f>F606</f>
        <v>50</v>
      </c>
      <c r="M606" s="7">
        <f t="shared" si="10"/>
        <v>73.71735537</v>
      </c>
      <c r="N606" s="7">
        <f t="shared" si="8"/>
        <v>0.6782663288</v>
      </c>
      <c r="O606" s="2" t="str">
        <f t="shared" si="9"/>
        <v>Acceptable</v>
      </c>
    </row>
    <row r="607" ht="15.75" customHeight="1">
      <c r="A607" s="1" t="s">
        <v>79</v>
      </c>
      <c r="B607" s="1" t="s">
        <v>69</v>
      </c>
      <c r="C607" s="1" t="s">
        <v>22</v>
      </c>
      <c r="D607" s="1">
        <v>477.0</v>
      </c>
      <c r="E607" s="1">
        <v>493.0</v>
      </c>
      <c r="F607" s="1">
        <f t="shared" si="2"/>
        <v>16</v>
      </c>
      <c r="G607" s="1">
        <f t="shared" si="3"/>
        <v>16</v>
      </c>
      <c r="H607" s="6">
        <f t="shared" si="4"/>
        <v>0.03354297694</v>
      </c>
      <c r="I607" s="6">
        <f t="shared" si="5"/>
        <v>0.9664570231</v>
      </c>
      <c r="J607" s="1">
        <f t="shared" si="6"/>
        <v>16</v>
      </c>
      <c r="K607" s="1" t="str">
        <f t="shared" si="7"/>
        <v>Over Forecast</v>
      </c>
      <c r="L607" s="1">
        <f>F607+J606</f>
        <v>66</v>
      </c>
      <c r="M607" s="7">
        <f t="shared" si="10"/>
        <v>73.62211221</v>
      </c>
      <c r="N607" s="7">
        <f t="shared" si="8"/>
        <v>0.8964697972</v>
      </c>
      <c r="O607" s="2" t="str">
        <f t="shared" si="9"/>
        <v>Acceptable</v>
      </c>
    </row>
    <row r="608" ht="15.75" customHeight="1">
      <c r="A608" s="1" t="s">
        <v>79</v>
      </c>
      <c r="B608" s="1" t="s">
        <v>69</v>
      </c>
      <c r="C608" s="1" t="s">
        <v>23</v>
      </c>
      <c r="D608" s="1">
        <v>489.0</v>
      </c>
      <c r="E608" s="1">
        <v>459.0</v>
      </c>
      <c r="F608" s="1">
        <f t="shared" si="2"/>
        <v>-30</v>
      </c>
      <c r="G608" s="1">
        <f t="shared" si="3"/>
        <v>30</v>
      </c>
      <c r="H608" s="6">
        <f t="shared" si="4"/>
        <v>0.06134969325</v>
      </c>
      <c r="I608" s="6">
        <f t="shared" si="5"/>
        <v>0.9386503067</v>
      </c>
      <c r="J608" s="1">
        <f t="shared" si="6"/>
        <v>-30</v>
      </c>
      <c r="K608" s="1" t="str">
        <f t="shared" si="7"/>
        <v>Under Forecast</v>
      </c>
      <c r="L608" s="1">
        <f>F608</f>
        <v>-30</v>
      </c>
      <c r="M608" s="7">
        <f t="shared" si="10"/>
        <v>73.55024712</v>
      </c>
      <c r="N608" s="7">
        <f t="shared" si="8"/>
        <v>-0.4078844215</v>
      </c>
      <c r="O608" s="2" t="str">
        <f t="shared" si="9"/>
        <v>Acceptable</v>
      </c>
    </row>
    <row r="609" ht="15.75" customHeight="1">
      <c r="A609" s="1" t="s">
        <v>79</v>
      </c>
      <c r="B609" s="1" t="s">
        <v>69</v>
      </c>
      <c r="C609" s="1" t="s">
        <v>24</v>
      </c>
      <c r="D609" s="1">
        <v>504.0</v>
      </c>
      <c r="E609" s="1">
        <v>571.0</v>
      </c>
      <c r="F609" s="1">
        <f t="shared" si="2"/>
        <v>67</v>
      </c>
      <c r="G609" s="1">
        <f t="shared" si="3"/>
        <v>67</v>
      </c>
      <c r="H609" s="6">
        <f t="shared" si="4"/>
        <v>0.1329365079</v>
      </c>
      <c r="I609" s="6">
        <f t="shared" si="5"/>
        <v>0.8670634921</v>
      </c>
      <c r="J609" s="1">
        <f t="shared" si="6"/>
        <v>67</v>
      </c>
      <c r="K609" s="1" t="str">
        <f t="shared" si="7"/>
        <v>Over Forecast</v>
      </c>
      <c r="L609" s="1">
        <f>F609+J608</f>
        <v>37</v>
      </c>
      <c r="M609" s="7">
        <f t="shared" si="10"/>
        <v>73.53947368</v>
      </c>
      <c r="N609" s="7">
        <f t="shared" si="8"/>
        <v>0.5031311505</v>
      </c>
      <c r="O609" s="2" t="str">
        <f t="shared" si="9"/>
        <v>Acceptable</v>
      </c>
    </row>
    <row r="610" ht="15.75" customHeight="1">
      <c r="A610" s="1" t="s">
        <v>79</v>
      </c>
      <c r="B610" s="1" t="s">
        <v>69</v>
      </c>
      <c r="C610" s="1" t="s">
        <v>25</v>
      </c>
      <c r="D610" s="1">
        <v>451.0</v>
      </c>
      <c r="E610" s="1">
        <v>489.0</v>
      </c>
      <c r="F610" s="1">
        <f t="shared" si="2"/>
        <v>38</v>
      </c>
      <c r="G610" s="1">
        <f t="shared" si="3"/>
        <v>38</v>
      </c>
      <c r="H610" s="6">
        <f t="shared" si="4"/>
        <v>0.08425720621</v>
      </c>
      <c r="I610" s="6">
        <f t="shared" si="5"/>
        <v>0.9157427938</v>
      </c>
      <c r="J610" s="1">
        <f t="shared" si="6"/>
        <v>38</v>
      </c>
      <c r="K610" s="1" t="str">
        <f t="shared" si="7"/>
        <v>Over Forecast</v>
      </c>
      <c r="L610" s="1">
        <f>F610</f>
        <v>38</v>
      </c>
      <c r="M610" s="7">
        <f t="shared" si="10"/>
        <v>73.48111658</v>
      </c>
      <c r="N610" s="7">
        <f t="shared" si="8"/>
        <v>0.5171396648</v>
      </c>
      <c r="O610" s="2" t="str">
        <f t="shared" si="9"/>
        <v>Acceptable</v>
      </c>
    </row>
    <row r="611" ht="15.75" customHeight="1">
      <c r="A611" s="1" t="s">
        <v>79</v>
      </c>
      <c r="B611" s="1" t="s">
        <v>69</v>
      </c>
      <c r="C611" s="1" t="s">
        <v>26</v>
      </c>
      <c r="D611" s="1">
        <v>442.0</v>
      </c>
      <c r="E611" s="1">
        <v>439.0</v>
      </c>
      <c r="F611" s="1">
        <f t="shared" si="2"/>
        <v>-3</v>
      </c>
      <c r="G611" s="1">
        <f t="shared" si="3"/>
        <v>3</v>
      </c>
      <c r="H611" s="6">
        <f t="shared" si="4"/>
        <v>0.006787330317</v>
      </c>
      <c r="I611" s="6">
        <f t="shared" si="5"/>
        <v>0.9932126697</v>
      </c>
      <c r="J611" s="1">
        <f t="shared" si="6"/>
        <v>-3</v>
      </c>
      <c r="K611" s="1" t="str">
        <f t="shared" si="7"/>
        <v>Under Forecast</v>
      </c>
      <c r="L611" s="1">
        <f>F611+J610</f>
        <v>35</v>
      </c>
      <c r="M611" s="7">
        <f t="shared" si="10"/>
        <v>73.36557377</v>
      </c>
      <c r="N611" s="7">
        <f t="shared" si="8"/>
        <v>0.4770629902</v>
      </c>
      <c r="O611" s="2" t="str">
        <f t="shared" si="9"/>
        <v>Acceptable</v>
      </c>
    </row>
    <row r="612" ht="15.75" customHeight="1">
      <c r="A612" s="1" t="s">
        <v>79</v>
      </c>
      <c r="B612" s="1" t="s">
        <v>69</v>
      </c>
      <c r="C612" s="1" t="s">
        <v>27</v>
      </c>
      <c r="D612" s="1">
        <v>440.0</v>
      </c>
      <c r="E612" s="1">
        <v>446.0</v>
      </c>
      <c r="F612" s="1">
        <f t="shared" si="2"/>
        <v>6</v>
      </c>
      <c r="G612" s="1">
        <f t="shared" si="3"/>
        <v>6</v>
      </c>
      <c r="H612" s="6">
        <f t="shared" si="4"/>
        <v>0.01363636364</v>
      </c>
      <c r="I612" s="6">
        <f t="shared" si="5"/>
        <v>0.9863636364</v>
      </c>
      <c r="J612" s="1">
        <f t="shared" si="6"/>
        <v>6</v>
      </c>
      <c r="K612" s="1" t="str">
        <f t="shared" si="7"/>
        <v>Over Forecast</v>
      </c>
      <c r="L612" s="1">
        <f>F612</f>
        <v>6</v>
      </c>
      <c r="M612" s="7">
        <f t="shared" si="10"/>
        <v>73.25531915</v>
      </c>
      <c r="N612" s="7">
        <f t="shared" si="8"/>
        <v>0.08190531513</v>
      </c>
      <c r="O612" s="2" t="str">
        <f t="shared" si="9"/>
        <v>Acceptable</v>
      </c>
    </row>
    <row r="613" ht="15.75" customHeight="1">
      <c r="A613" s="1" t="s">
        <v>79</v>
      </c>
      <c r="B613" s="1" t="s">
        <v>69</v>
      </c>
      <c r="C613" s="1" t="s">
        <v>28</v>
      </c>
      <c r="D613" s="1">
        <v>423.0</v>
      </c>
      <c r="E613" s="1">
        <v>459.0</v>
      </c>
      <c r="F613" s="1">
        <f t="shared" si="2"/>
        <v>36</v>
      </c>
      <c r="G613" s="1">
        <f t="shared" si="3"/>
        <v>36</v>
      </c>
      <c r="H613" s="6">
        <f t="shared" si="4"/>
        <v>0.08510638298</v>
      </c>
      <c r="I613" s="6">
        <f t="shared" si="5"/>
        <v>0.914893617</v>
      </c>
      <c r="J613" s="1">
        <f t="shared" si="6"/>
        <v>36</v>
      </c>
      <c r="K613" s="1" t="str">
        <f t="shared" si="7"/>
        <v>Over Forecast</v>
      </c>
      <c r="L613" s="1">
        <f>F613+J612</f>
        <v>42</v>
      </c>
      <c r="M613" s="7">
        <f t="shared" si="10"/>
        <v>73.19444444</v>
      </c>
      <c r="N613" s="7">
        <f t="shared" si="8"/>
        <v>0.5738140417</v>
      </c>
      <c r="O613" s="2" t="str">
        <f t="shared" si="9"/>
        <v>Acceptable</v>
      </c>
    </row>
    <row r="614" ht="15.75" customHeight="1">
      <c r="A614" s="1" t="s">
        <v>80</v>
      </c>
      <c r="B614" s="1" t="s">
        <v>69</v>
      </c>
      <c r="C614" s="1" t="s">
        <v>17</v>
      </c>
      <c r="D614" s="1">
        <v>661.0</v>
      </c>
      <c r="E614" s="1">
        <v>739.0</v>
      </c>
      <c r="F614" s="1">
        <f t="shared" si="2"/>
        <v>78</v>
      </c>
      <c r="G614" s="1">
        <f t="shared" si="3"/>
        <v>78</v>
      </c>
      <c r="H614" s="6">
        <f t="shared" si="4"/>
        <v>0.1180030257</v>
      </c>
      <c r="I614" s="6">
        <f t="shared" si="5"/>
        <v>0.8819969743</v>
      </c>
      <c r="J614" s="1">
        <f t="shared" si="6"/>
        <v>78</v>
      </c>
      <c r="K614" s="1" t="str">
        <f t="shared" si="7"/>
        <v>Over Forecast</v>
      </c>
      <c r="L614" s="1">
        <f>F614</f>
        <v>78</v>
      </c>
      <c r="M614" s="7">
        <f t="shared" si="10"/>
        <v>73.20228385</v>
      </c>
      <c r="N614" s="7">
        <f t="shared" si="8"/>
        <v>1.065540525</v>
      </c>
      <c r="O614" s="2" t="str">
        <f t="shared" si="9"/>
        <v>Acceptable</v>
      </c>
    </row>
    <row r="615" ht="15.75" customHeight="1">
      <c r="A615" s="1" t="s">
        <v>80</v>
      </c>
      <c r="B615" s="1" t="s">
        <v>69</v>
      </c>
      <c r="C615" s="1" t="s">
        <v>18</v>
      </c>
      <c r="D615" s="1">
        <v>631.0</v>
      </c>
      <c r="E615" s="1">
        <v>579.0</v>
      </c>
      <c r="F615" s="1">
        <f t="shared" si="2"/>
        <v>-52</v>
      </c>
      <c r="G615" s="1">
        <f t="shared" si="3"/>
        <v>52</v>
      </c>
      <c r="H615" s="6">
        <f t="shared" si="4"/>
        <v>0.0824088748</v>
      </c>
      <c r="I615" s="6">
        <f t="shared" si="5"/>
        <v>0.9175911252</v>
      </c>
      <c r="J615" s="1">
        <f t="shared" si="6"/>
        <v>-52</v>
      </c>
      <c r="K615" s="1" t="str">
        <f t="shared" si="7"/>
        <v>Under Forecast</v>
      </c>
      <c r="L615" s="1">
        <f>F615+J614</f>
        <v>26</v>
      </c>
      <c r="M615" s="7">
        <f t="shared" si="10"/>
        <v>73.16775244</v>
      </c>
      <c r="N615" s="7">
        <f t="shared" si="8"/>
        <v>0.3553478019</v>
      </c>
      <c r="O615" s="2" t="str">
        <f t="shared" si="9"/>
        <v>Acceptable</v>
      </c>
    </row>
    <row r="616" ht="15.75" customHeight="1">
      <c r="A616" s="1" t="s">
        <v>80</v>
      </c>
      <c r="B616" s="1" t="s">
        <v>69</v>
      </c>
      <c r="C616" s="1" t="s">
        <v>19</v>
      </c>
      <c r="D616" s="1">
        <v>692.0</v>
      </c>
      <c r="E616" s="1">
        <v>655.0</v>
      </c>
      <c r="F616" s="1">
        <f t="shared" si="2"/>
        <v>-37</v>
      </c>
      <c r="G616" s="1">
        <f t="shared" si="3"/>
        <v>37</v>
      </c>
      <c r="H616" s="6">
        <f t="shared" si="4"/>
        <v>0.05346820809</v>
      </c>
      <c r="I616" s="6">
        <f t="shared" si="5"/>
        <v>0.9465317919</v>
      </c>
      <c r="J616" s="1">
        <f t="shared" si="6"/>
        <v>-37</v>
      </c>
      <c r="K616" s="1" t="str">
        <f t="shared" si="7"/>
        <v>Under Forecast</v>
      </c>
      <c r="L616" s="1">
        <f>F616</f>
        <v>-37</v>
      </c>
      <c r="M616" s="7">
        <f t="shared" si="10"/>
        <v>73.10894309</v>
      </c>
      <c r="N616" s="7">
        <f t="shared" si="8"/>
        <v>-0.506094035</v>
      </c>
      <c r="O616" s="2" t="str">
        <f t="shared" si="9"/>
        <v>Acceptable</v>
      </c>
    </row>
    <row r="617" ht="15.75" customHeight="1">
      <c r="A617" s="1" t="s">
        <v>80</v>
      </c>
      <c r="B617" s="1" t="s">
        <v>69</v>
      </c>
      <c r="C617" s="1" t="s">
        <v>20</v>
      </c>
      <c r="D617" s="1">
        <v>818.0</v>
      </c>
      <c r="E617" s="1">
        <v>789.0</v>
      </c>
      <c r="F617" s="1">
        <f t="shared" si="2"/>
        <v>-29</v>
      </c>
      <c r="G617" s="1">
        <f t="shared" si="3"/>
        <v>29</v>
      </c>
      <c r="H617" s="6">
        <f t="shared" si="4"/>
        <v>0.03545232274</v>
      </c>
      <c r="I617" s="6">
        <f t="shared" si="5"/>
        <v>0.9645476773</v>
      </c>
      <c r="J617" s="1">
        <f t="shared" si="6"/>
        <v>-29</v>
      </c>
      <c r="K617" s="1" t="str">
        <f t="shared" si="7"/>
        <v>Under Forecast</v>
      </c>
      <c r="L617" s="1">
        <f>F617+J616</f>
        <v>-66</v>
      </c>
      <c r="M617" s="7">
        <f t="shared" si="10"/>
        <v>73.03733766</v>
      </c>
      <c r="N617" s="7">
        <f t="shared" si="8"/>
        <v>-0.9036473961</v>
      </c>
      <c r="O617" s="2" t="str">
        <f t="shared" si="9"/>
        <v>Acceptable</v>
      </c>
    </row>
    <row r="618" ht="15.75" customHeight="1">
      <c r="A618" s="1" t="s">
        <v>80</v>
      </c>
      <c r="B618" s="1" t="s">
        <v>69</v>
      </c>
      <c r="C618" s="1" t="s">
        <v>21</v>
      </c>
      <c r="D618" s="1">
        <v>872.0</v>
      </c>
      <c r="E618" s="1">
        <v>872.0</v>
      </c>
      <c r="F618" s="1">
        <f t="shared" si="2"/>
        <v>0</v>
      </c>
      <c r="G618" s="1">
        <f t="shared" si="3"/>
        <v>0</v>
      </c>
      <c r="H618" s="6">
        <f t="shared" si="4"/>
        <v>0</v>
      </c>
      <c r="I618" s="6">
        <f t="shared" si="5"/>
        <v>1</v>
      </c>
      <c r="J618" s="1">
        <f t="shared" si="6"/>
        <v>0</v>
      </c>
      <c r="K618" s="1" t="str">
        <f t="shared" si="7"/>
        <v>Accurate Forecast</v>
      </c>
      <c r="L618" s="1">
        <f>F618</f>
        <v>0</v>
      </c>
      <c r="M618" s="7">
        <f t="shared" si="10"/>
        <v>72.91896272</v>
      </c>
      <c r="N618" s="7">
        <f t="shared" si="8"/>
        <v>0</v>
      </c>
      <c r="O618" s="2" t="str">
        <f t="shared" si="9"/>
        <v>Acceptable</v>
      </c>
    </row>
    <row r="619" ht="15.75" customHeight="1">
      <c r="A619" s="1" t="s">
        <v>80</v>
      </c>
      <c r="B619" s="1" t="s">
        <v>69</v>
      </c>
      <c r="C619" s="1" t="s">
        <v>22</v>
      </c>
      <c r="D619" s="1">
        <v>771.0</v>
      </c>
      <c r="E619" s="1">
        <v>876.0</v>
      </c>
      <c r="F619" s="1">
        <f t="shared" si="2"/>
        <v>105</v>
      </c>
      <c r="G619" s="1">
        <f t="shared" si="3"/>
        <v>105</v>
      </c>
      <c r="H619" s="6">
        <f t="shared" si="4"/>
        <v>0.1361867704</v>
      </c>
      <c r="I619" s="6">
        <f t="shared" si="5"/>
        <v>0.8638132296</v>
      </c>
      <c r="J619" s="1">
        <f t="shared" si="6"/>
        <v>105</v>
      </c>
      <c r="K619" s="1" t="str">
        <f t="shared" si="7"/>
        <v>Over Forecast</v>
      </c>
      <c r="L619" s="1">
        <f>F619+J618</f>
        <v>105</v>
      </c>
      <c r="M619" s="7">
        <f t="shared" si="10"/>
        <v>72.97087379</v>
      </c>
      <c r="N619" s="7">
        <f t="shared" si="8"/>
        <v>1.438930282</v>
      </c>
      <c r="O619" s="2" t="str">
        <f t="shared" si="9"/>
        <v>Acceptable</v>
      </c>
    </row>
    <row r="620" ht="15.75" customHeight="1">
      <c r="A620" s="1" t="s">
        <v>80</v>
      </c>
      <c r="B620" s="1" t="s">
        <v>69</v>
      </c>
      <c r="C620" s="1" t="s">
        <v>23</v>
      </c>
      <c r="D620" s="1">
        <v>879.0</v>
      </c>
      <c r="E620" s="1">
        <v>922.0</v>
      </c>
      <c r="F620" s="1">
        <f t="shared" si="2"/>
        <v>43</v>
      </c>
      <c r="G620" s="1">
        <f t="shared" si="3"/>
        <v>43</v>
      </c>
      <c r="H620" s="6">
        <f t="shared" si="4"/>
        <v>0.04891922639</v>
      </c>
      <c r="I620" s="6">
        <f t="shared" si="5"/>
        <v>0.9510807736</v>
      </c>
      <c r="J620" s="1">
        <f t="shared" si="6"/>
        <v>43</v>
      </c>
      <c r="K620" s="1" t="str">
        <f t="shared" si="7"/>
        <v>Over Forecast</v>
      </c>
      <c r="L620" s="1">
        <f>F620</f>
        <v>43</v>
      </c>
      <c r="M620" s="7">
        <f t="shared" si="10"/>
        <v>72.92245557</v>
      </c>
      <c r="N620" s="7">
        <f t="shared" si="8"/>
        <v>0.5896674716</v>
      </c>
      <c r="O620" s="2" t="str">
        <f t="shared" si="9"/>
        <v>Acceptable</v>
      </c>
    </row>
    <row r="621" ht="15.75" customHeight="1">
      <c r="A621" s="1" t="s">
        <v>80</v>
      </c>
      <c r="B621" s="1" t="s">
        <v>69</v>
      </c>
      <c r="C621" s="1" t="s">
        <v>24</v>
      </c>
      <c r="D621" s="1">
        <v>843.0</v>
      </c>
      <c r="E621" s="1">
        <v>940.0</v>
      </c>
      <c r="F621" s="1">
        <f t="shared" si="2"/>
        <v>97</v>
      </c>
      <c r="G621" s="1">
        <f t="shared" si="3"/>
        <v>97</v>
      </c>
      <c r="H621" s="6">
        <f t="shared" si="4"/>
        <v>0.1150652432</v>
      </c>
      <c r="I621" s="6">
        <f t="shared" si="5"/>
        <v>0.8849347568</v>
      </c>
      <c r="J621" s="1">
        <f t="shared" si="6"/>
        <v>97</v>
      </c>
      <c r="K621" s="1" t="str">
        <f t="shared" si="7"/>
        <v>Over Forecast</v>
      </c>
      <c r="L621" s="1">
        <f>F621+J620</f>
        <v>140</v>
      </c>
      <c r="M621" s="7">
        <f t="shared" si="10"/>
        <v>72.96129032</v>
      </c>
      <c r="N621" s="7">
        <f t="shared" si="8"/>
        <v>1.918825714</v>
      </c>
      <c r="O621" s="2" t="str">
        <f t="shared" si="9"/>
        <v>Acceptable</v>
      </c>
    </row>
    <row r="622" ht="15.75" customHeight="1">
      <c r="A622" s="1" t="s">
        <v>80</v>
      </c>
      <c r="B622" s="1" t="s">
        <v>69</v>
      </c>
      <c r="C622" s="1" t="s">
        <v>25</v>
      </c>
      <c r="D622" s="1">
        <v>757.0</v>
      </c>
      <c r="E622" s="1">
        <v>907.0</v>
      </c>
      <c r="F622" s="1">
        <f t="shared" si="2"/>
        <v>150</v>
      </c>
      <c r="G622" s="1">
        <f t="shared" si="3"/>
        <v>150</v>
      </c>
      <c r="H622" s="6">
        <f t="shared" si="4"/>
        <v>0.1981505945</v>
      </c>
      <c r="I622" s="6">
        <f t="shared" si="5"/>
        <v>0.8018494055</v>
      </c>
      <c r="J622" s="1">
        <f t="shared" si="6"/>
        <v>150</v>
      </c>
      <c r="K622" s="1" t="str">
        <f t="shared" si="7"/>
        <v>Over Forecast</v>
      </c>
      <c r="L622" s="1">
        <f>F622</f>
        <v>150</v>
      </c>
      <c r="M622" s="7">
        <f t="shared" si="10"/>
        <v>73.08534622</v>
      </c>
      <c r="N622" s="7">
        <f t="shared" si="8"/>
        <v>2.052395012</v>
      </c>
      <c r="O622" s="2" t="str">
        <f t="shared" si="9"/>
        <v>Acceptable</v>
      </c>
    </row>
    <row r="623" ht="15.75" customHeight="1">
      <c r="A623" s="1" t="s">
        <v>80</v>
      </c>
      <c r="B623" s="1" t="s">
        <v>69</v>
      </c>
      <c r="C623" s="1" t="s">
        <v>26</v>
      </c>
      <c r="D623" s="1">
        <v>873.0</v>
      </c>
      <c r="E623" s="1">
        <v>956.0</v>
      </c>
      <c r="F623" s="1">
        <f t="shared" si="2"/>
        <v>83</v>
      </c>
      <c r="G623" s="1">
        <f t="shared" si="3"/>
        <v>83</v>
      </c>
      <c r="H623" s="6">
        <f t="shared" si="4"/>
        <v>0.0950744559</v>
      </c>
      <c r="I623" s="6">
        <f t="shared" si="5"/>
        <v>0.9049255441</v>
      </c>
      <c r="J623" s="1">
        <f t="shared" si="6"/>
        <v>83</v>
      </c>
      <c r="K623" s="1" t="str">
        <f t="shared" si="7"/>
        <v>Over Forecast</v>
      </c>
      <c r="L623" s="1">
        <f>F623+J622</f>
        <v>233</v>
      </c>
      <c r="M623" s="7">
        <f t="shared" si="10"/>
        <v>73.10128617</v>
      </c>
      <c r="N623" s="7">
        <f t="shared" si="8"/>
        <v>3.18735842</v>
      </c>
      <c r="O623" s="2" t="str">
        <f t="shared" si="9"/>
        <v>Acceptable</v>
      </c>
    </row>
    <row r="624" ht="15.75" customHeight="1">
      <c r="A624" s="1" t="s">
        <v>80</v>
      </c>
      <c r="B624" s="1" t="s">
        <v>69</v>
      </c>
      <c r="C624" s="1" t="s">
        <v>27</v>
      </c>
      <c r="D624" s="1">
        <v>745.0</v>
      </c>
      <c r="E624" s="1">
        <v>822.0</v>
      </c>
      <c r="F624" s="1">
        <f t="shared" si="2"/>
        <v>77</v>
      </c>
      <c r="G624" s="1">
        <f t="shared" si="3"/>
        <v>77</v>
      </c>
      <c r="H624" s="6">
        <f t="shared" si="4"/>
        <v>0.1033557047</v>
      </c>
      <c r="I624" s="6">
        <f t="shared" si="5"/>
        <v>0.8966442953</v>
      </c>
      <c r="J624" s="1">
        <f t="shared" si="6"/>
        <v>77</v>
      </c>
      <c r="K624" s="1" t="str">
        <f t="shared" si="7"/>
        <v>Over Forecast</v>
      </c>
      <c r="L624" s="1">
        <f>F624</f>
        <v>77</v>
      </c>
      <c r="M624" s="7">
        <f t="shared" si="10"/>
        <v>73.10754414</v>
      </c>
      <c r="N624" s="7">
        <f t="shared" si="8"/>
        <v>1.053242875</v>
      </c>
      <c r="O624" s="2" t="str">
        <f t="shared" si="9"/>
        <v>Acceptable</v>
      </c>
    </row>
    <row r="625" ht="15.75" customHeight="1">
      <c r="A625" s="1" t="s">
        <v>80</v>
      </c>
      <c r="B625" s="1" t="s">
        <v>69</v>
      </c>
      <c r="C625" s="1" t="s">
        <v>28</v>
      </c>
      <c r="D625" s="1">
        <v>714.0</v>
      </c>
      <c r="E625" s="1">
        <v>649.0</v>
      </c>
      <c r="F625" s="1">
        <f t="shared" si="2"/>
        <v>-65</v>
      </c>
      <c r="G625" s="1">
        <f t="shared" si="3"/>
        <v>65</v>
      </c>
      <c r="H625" s="6">
        <f t="shared" si="4"/>
        <v>0.09103641457</v>
      </c>
      <c r="I625" s="6">
        <f t="shared" si="5"/>
        <v>0.9089635854</v>
      </c>
      <c r="J625" s="1">
        <f t="shared" si="6"/>
        <v>-65</v>
      </c>
      <c r="K625" s="1" t="str">
        <f t="shared" si="7"/>
        <v>Under Forecast</v>
      </c>
      <c r="L625" s="1">
        <f>F625+J624</f>
        <v>12</v>
      </c>
      <c r="M625" s="7">
        <f t="shared" si="10"/>
        <v>73.09455128</v>
      </c>
      <c r="N625" s="7">
        <f t="shared" si="8"/>
        <v>0.1641709237</v>
      </c>
      <c r="O625" s="2" t="str">
        <f t="shared" si="9"/>
        <v>Acceptable</v>
      </c>
    </row>
    <row r="626" ht="15.75" customHeight="1">
      <c r="A626" s="1" t="s">
        <v>81</v>
      </c>
      <c r="B626" s="1" t="s">
        <v>69</v>
      </c>
      <c r="C626" s="1" t="s">
        <v>17</v>
      </c>
      <c r="D626" s="1">
        <v>592.0</v>
      </c>
      <c r="E626" s="1">
        <v>673.0</v>
      </c>
      <c r="F626" s="1">
        <f t="shared" si="2"/>
        <v>81</v>
      </c>
      <c r="G626" s="1">
        <f t="shared" si="3"/>
        <v>81</v>
      </c>
      <c r="H626" s="6">
        <f t="shared" si="4"/>
        <v>0.1368243243</v>
      </c>
      <c r="I626" s="6">
        <f t="shared" si="5"/>
        <v>0.8631756757</v>
      </c>
      <c r="J626" s="1">
        <f t="shared" si="6"/>
        <v>81</v>
      </c>
      <c r="K626" s="1" t="str">
        <f t="shared" si="7"/>
        <v>Over Forecast</v>
      </c>
      <c r="L626" s="1">
        <f>F626</f>
        <v>81</v>
      </c>
      <c r="M626" s="7">
        <f t="shared" si="10"/>
        <v>73.1072</v>
      </c>
      <c r="N626" s="7">
        <f t="shared" si="8"/>
        <v>1.107962006</v>
      </c>
      <c r="O626" s="2" t="str">
        <f t="shared" si="9"/>
        <v>Acceptable</v>
      </c>
    </row>
    <row r="627" ht="15.75" customHeight="1">
      <c r="A627" s="1" t="s">
        <v>81</v>
      </c>
      <c r="B627" s="1" t="s">
        <v>69</v>
      </c>
      <c r="C627" s="1" t="s">
        <v>18</v>
      </c>
      <c r="D627" s="1">
        <v>658.0</v>
      </c>
      <c r="E627" s="1">
        <v>726.0</v>
      </c>
      <c r="F627" s="1">
        <f t="shared" si="2"/>
        <v>68</v>
      </c>
      <c r="G627" s="1">
        <f t="shared" si="3"/>
        <v>68</v>
      </c>
      <c r="H627" s="6">
        <f t="shared" si="4"/>
        <v>0.103343465</v>
      </c>
      <c r="I627" s="6">
        <f t="shared" si="5"/>
        <v>0.896656535</v>
      </c>
      <c r="J627" s="1">
        <f t="shared" si="6"/>
        <v>68</v>
      </c>
      <c r="K627" s="1" t="str">
        <f t="shared" si="7"/>
        <v>Over Forecast</v>
      </c>
      <c r="L627" s="1">
        <f>F627+J626</f>
        <v>149</v>
      </c>
      <c r="M627" s="7">
        <f t="shared" si="10"/>
        <v>73.09904153</v>
      </c>
      <c r="N627" s="7">
        <f t="shared" si="8"/>
        <v>2.03833042</v>
      </c>
      <c r="O627" s="2" t="str">
        <f t="shared" si="9"/>
        <v>Acceptable</v>
      </c>
    </row>
    <row r="628" ht="15.75" customHeight="1">
      <c r="A628" s="1" t="s">
        <v>81</v>
      </c>
      <c r="B628" s="1" t="s">
        <v>69</v>
      </c>
      <c r="C628" s="1" t="s">
        <v>19</v>
      </c>
      <c r="D628" s="1">
        <v>731.0</v>
      </c>
      <c r="E628" s="1">
        <v>782.0</v>
      </c>
      <c r="F628" s="1">
        <f t="shared" si="2"/>
        <v>51</v>
      </c>
      <c r="G628" s="1">
        <f t="shared" si="3"/>
        <v>51</v>
      </c>
      <c r="H628" s="6">
        <f t="shared" si="4"/>
        <v>0.06976744186</v>
      </c>
      <c r="I628" s="6">
        <f t="shared" si="5"/>
        <v>0.9302325581</v>
      </c>
      <c r="J628" s="1">
        <f t="shared" si="6"/>
        <v>51</v>
      </c>
      <c r="K628" s="1" t="str">
        <f t="shared" si="7"/>
        <v>Over Forecast</v>
      </c>
      <c r="L628" s="1">
        <f>F628</f>
        <v>51</v>
      </c>
      <c r="M628" s="7">
        <f t="shared" si="10"/>
        <v>73.06379585</v>
      </c>
      <c r="N628" s="7">
        <f t="shared" si="8"/>
        <v>0.6980201262</v>
      </c>
      <c r="O628" s="2" t="str">
        <f t="shared" si="9"/>
        <v>Acceptable</v>
      </c>
    </row>
    <row r="629" ht="15.75" customHeight="1">
      <c r="A629" s="1" t="s">
        <v>81</v>
      </c>
      <c r="B629" s="1" t="s">
        <v>69</v>
      </c>
      <c r="C629" s="1" t="s">
        <v>20</v>
      </c>
      <c r="D629" s="1">
        <v>791.0</v>
      </c>
      <c r="E629" s="1">
        <v>792.0</v>
      </c>
      <c r="F629" s="1">
        <f t="shared" si="2"/>
        <v>1</v>
      </c>
      <c r="G629" s="1">
        <f t="shared" si="3"/>
        <v>1</v>
      </c>
      <c r="H629" s="6">
        <f t="shared" si="4"/>
        <v>0.001264222503</v>
      </c>
      <c r="I629" s="6">
        <f t="shared" si="5"/>
        <v>0.9987357775</v>
      </c>
      <c r="J629" s="1">
        <f t="shared" si="6"/>
        <v>1</v>
      </c>
      <c r="K629" s="1" t="str">
        <f t="shared" si="7"/>
        <v>Over Forecast</v>
      </c>
      <c r="L629" s="1">
        <f>F629+J628</f>
        <v>52</v>
      </c>
      <c r="M629" s="7">
        <f t="shared" si="10"/>
        <v>72.94904459</v>
      </c>
      <c r="N629" s="7">
        <f t="shared" si="8"/>
        <v>0.7128263337</v>
      </c>
      <c r="O629" s="2" t="str">
        <f t="shared" si="9"/>
        <v>Acceptable</v>
      </c>
    </row>
    <row r="630" ht="15.75" customHeight="1">
      <c r="A630" s="1" t="s">
        <v>81</v>
      </c>
      <c r="B630" s="1" t="s">
        <v>69</v>
      </c>
      <c r="C630" s="1" t="s">
        <v>21</v>
      </c>
      <c r="D630" s="1">
        <v>798.0</v>
      </c>
      <c r="E630" s="1">
        <v>801.0</v>
      </c>
      <c r="F630" s="1">
        <f t="shared" si="2"/>
        <v>3</v>
      </c>
      <c r="G630" s="1">
        <f t="shared" si="3"/>
        <v>3</v>
      </c>
      <c r="H630" s="6">
        <f t="shared" si="4"/>
        <v>0.003759398496</v>
      </c>
      <c r="I630" s="6">
        <f t="shared" si="5"/>
        <v>0.9962406015</v>
      </c>
      <c r="J630" s="1">
        <f t="shared" si="6"/>
        <v>3</v>
      </c>
      <c r="K630" s="1" t="str">
        <f t="shared" si="7"/>
        <v>Over Forecast</v>
      </c>
      <c r="L630" s="1">
        <f>F630</f>
        <v>3</v>
      </c>
      <c r="M630" s="7">
        <f t="shared" si="10"/>
        <v>72.83783784</v>
      </c>
      <c r="N630" s="7">
        <f t="shared" si="8"/>
        <v>0.04118738404</v>
      </c>
      <c r="O630" s="2" t="str">
        <f t="shared" si="9"/>
        <v>Acceptable</v>
      </c>
    </row>
    <row r="631" ht="15.75" customHeight="1">
      <c r="A631" s="1" t="s">
        <v>81</v>
      </c>
      <c r="B631" s="1" t="s">
        <v>69</v>
      </c>
      <c r="C631" s="1" t="s">
        <v>22</v>
      </c>
      <c r="D631" s="1">
        <v>839.0</v>
      </c>
      <c r="E631" s="1">
        <v>720.0</v>
      </c>
      <c r="F631" s="1">
        <f t="shared" si="2"/>
        <v>-119</v>
      </c>
      <c r="G631" s="1">
        <f t="shared" si="3"/>
        <v>119</v>
      </c>
      <c r="H631" s="6">
        <f t="shared" si="4"/>
        <v>0.1418355185</v>
      </c>
      <c r="I631" s="6">
        <f t="shared" si="5"/>
        <v>0.8581644815</v>
      </c>
      <c r="J631" s="1">
        <f t="shared" si="6"/>
        <v>-119</v>
      </c>
      <c r="K631" s="1" t="str">
        <f t="shared" si="7"/>
        <v>Under Forecast</v>
      </c>
      <c r="L631" s="1">
        <f>F631+J630</f>
        <v>-116</v>
      </c>
      <c r="M631" s="7">
        <f t="shared" si="10"/>
        <v>72.91111111</v>
      </c>
      <c r="N631" s="7">
        <f t="shared" si="8"/>
        <v>-1.59097836</v>
      </c>
      <c r="O631" s="2" t="str">
        <f t="shared" si="9"/>
        <v>Acceptable</v>
      </c>
    </row>
    <row r="632" ht="15.75" customHeight="1">
      <c r="A632" s="1" t="s">
        <v>81</v>
      </c>
      <c r="B632" s="1" t="s">
        <v>69</v>
      </c>
      <c r="C632" s="1" t="s">
        <v>23</v>
      </c>
      <c r="D632" s="1">
        <v>841.0</v>
      </c>
      <c r="E632" s="1">
        <v>867.0</v>
      </c>
      <c r="F632" s="1">
        <f t="shared" si="2"/>
        <v>26</v>
      </c>
      <c r="G632" s="1">
        <f t="shared" si="3"/>
        <v>26</v>
      </c>
      <c r="H632" s="6">
        <f t="shared" si="4"/>
        <v>0.03091557669</v>
      </c>
      <c r="I632" s="6">
        <f t="shared" si="5"/>
        <v>0.9690844233</v>
      </c>
      <c r="J632" s="1">
        <f t="shared" si="6"/>
        <v>26</v>
      </c>
      <c r="K632" s="1" t="str">
        <f t="shared" si="7"/>
        <v>Over Forecast</v>
      </c>
      <c r="L632" s="1">
        <f>F632</f>
        <v>26</v>
      </c>
      <c r="M632" s="7">
        <f t="shared" si="10"/>
        <v>72.83676704</v>
      </c>
      <c r="N632" s="7">
        <f t="shared" si="8"/>
        <v>0.3569625762</v>
      </c>
      <c r="O632" s="2" t="str">
        <f t="shared" si="9"/>
        <v>Acceptable</v>
      </c>
    </row>
    <row r="633" ht="15.75" customHeight="1">
      <c r="A633" s="1" t="s">
        <v>81</v>
      </c>
      <c r="B633" s="1" t="s">
        <v>69</v>
      </c>
      <c r="C633" s="1" t="s">
        <v>24</v>
      </c>
      <c r="D633" s="1">
        <v>865.0</v>
      </c>
      <c r="E633" s="1">
        <v>941.0</v>
      </c>
      <c r="F633" s="1">
        <f t="shared" si="2"/>
        <v>76</v>
      </c>
      <c r="G633" s="1">
        <f t="shared" si="3"/>
        <v>76</v>
      </c>
      <c r="H633" s="6">
        <f t="shared" si="4"/>
        <v>0.08786127168</v>
      </c>
      <c r="I633" s="6">
        <f t="shared" si="5"/>
        <v>0.9121387283</v>
      </c>
      <c r="J633" s="1">
        <f t="shared" si="6"/>
        <v>76</v>
      </c>
      <c r="K633" s="1" t="str">
        <f t="shared" si="7"/>
        <v>Over Forecast</v>
      </c>
      <c r="L633" s="1">
        <f>F633+J632</f>
        <v>102</v>
      </c>
      <c r="M633" s="7">
        <f t="shared" si="10"/>
        <v>72.84177215</v>
      </c>
      <c r="N633" s="7">
        <f t="shared" si="8"/>
        <v>1.400295421</v>
      </c>
      <c r="O633" s="2" t="str">
        <f t="shared" si="9"/>
        <v>Acceptable</v>
      </c>
    </row>
    <row r="634" ht="15.75" customHeight="1">
      <c r="A634" s="1" t="s">
        <v>81</v>
      </c>
      <c r="B634" s="1" t="s">
        <v>69</v>
      </c>
      <c r="C634" s="1" t="s">
        <v>25</v>
      </c>
      <c r="D634" s="1">
        <v>845.0</v>
      </c>
      <c r="E634" s="1">
        <v>969.0</v>
      </c>
      <c r="F634" s="1">
        <f t="shared" si="2"/>
        <v>124</v>
      </c>
      <c r="G634" s="1">
        <f t="shared" si="3"/>
        <v>124</v>
      </c>
      <c r="H634" s="6">
        <f t="shared" si="4"/>
        <v>0.1467455621</v>
      </c>
      <c r="I634" s="6">
        <f t="shared" si="5"/>
        <v>0.8532544379</v>
      </c>
      <c r="J634" s="1">
        <f t="shared" si="6"/>
        <v>124</v>
      </c>
      <c r="K634" s="1" t="str">
        <f t="shared" si="7"/>
        <v>Over Forecast</v>
      </c>
      <c r="L634" s="1">
        <f>F634</f>
        <v>124</v>
      </c>
      <c r="M634" s="7">
        <f t="shared" si="10"/>
        <v>72.92259084</v>
      </c>
      <c r="N634" s="7">
        <f t="shared" si="8"/>
        <v>1.700433276</v>
      </c>
      <c r="O634" s="2" t="str">
        <f t="shared" si="9"/>
        <v>Acceptable</v>
      </c>
    </row>
    <row r="635" ht="15.75" customHeight="1">
      <c r="A635" s="1" t="s">
        <v>81</v>
      </c>
      <c r="B635" s="1" t="s">
        <v>69</v>
      </c>
      <c r="C635" s="1" t="s">
        <v>26</v>
      </c>
      <c r="D635" s="1">
        <v>787.0</v>
      </c>
      <c r="E635" s="1">
        <v>753.0</v>
      </c>
      <c r="F635" s="1">
        <f t="shared" si="2"/>
        <v>-34</v>
      </c>
      <c r="G635" s="1">
        <f t="shared" si="3"/>
        <v>34</v>
      </c>
      <c r="H635" s="6">
        <f t="shared" si="4"/>
        <v>0.04320203304</v>
      </c>
      <c r="I635" s="6">
        <f t="shared" si="5"/>
        <v>0.956797967</v>
      </c>
      <c r="J635" s="1">
        <f t="shared" si="6"/>
        <v>-34</v>
      </c>
      <c r="K635" s="1" t="str">
        <f t="shared" si="7"/>
        <v>Under Forecast</v>
      </c>
      <c r="L635" s="1">
        <f>F635+J634</f>
        <v>90</v>
      </c>
      <c r="M635" s="7">
        <f t="shared" si="10"/>
        <v>72.86119874</v>
      </c>
      <c r="N635" s="7">
        <f t="shared" si="8"/>
        <v>1.235225354</v>
      </c>
      <c r="O635" s="2" t="str">
        <f t="shared" si="9"/>
        <v>Acceptable</v>
      </c>
    </row>
    <row r="636" ht="15.75" customHeight="1">
      <c r="A636" s="1" t="s">
        <v>81</v>
      </c>
      <c r="B636" s="1" t="s">
        <v>69</v>
      </c>
      <c r="C636" s="1" t="s">
        <v>27</v>
      </c>
      <c r="D636" s="1">
        <v>806.0</v>
      </c>
      <c r="E636" s="1">
        <v>797.0</v>
      </c>
      <c r="F636" s="1">
        <f t="shared" si="2"/>
        <v>-9</v>
      </c>
      <c r="G636" s="1">
        <f t="shared" si="3"/>
        <v>9</v>
      </c>
      <c r="H636" s="6">
        <f t="shared" si="4"/>
        <v>0.0111662531</v>
      </c>
      <c r="I636" s="6">
        <f t="shared" si="5"/>
        <v>0.9888337469</v>
      </c>
      <c r="J636" s="1">
        <f t="shared" si="6"/>
        <v>-9</v>
      </c>
      <c r="K636" s="1" t="str">
        <f t="shared" si="7"/>
        <v>Under Forecast</v>
      </c>
      <c r="L636" s="1">
        <f>F636</f>
        <v>-9</v>
      </c>
      <c r="M636" s="7">
        <f t="shared" si="10"/>
        <v>72.76062992</v>
      </c>
      <c r="N636" s="7">
        <f t="shared" si="8"/>
        <v>-0.1236932667</v>
      </c>
      <c r="O636" s="2" t="str">
        <f t="shared" si="9"/>
        <v>Acceptable</v>
      </c>
    </row>
    <row r="637" ht="15.75" customHeight="1">
      <c r="A637" s="1" t="s">
        <v>81</v>
      </c>
      <c r="B637" s="1" t="s">
        <v>69</v>
      </c>
      <c r="C637" s="1" t="s">
        <v>28</v>
      </c>
      <c r="D637" s="1">
        <v>874.0</v>
      </c>
      <c r="E637" s="1">
        <v>804.0</v>
      </c>
      <c r="F637" s="1">
        <f t="shared" si="2"/>
        <v>-70</v>
      </c>
      <c r="G637" s="1">
        <f t="shared" si="3"/>
        <v>70</v>
      </c>
      <c r="H637" s="6">
        <f t="shared" si="4"/>
        <v>0.08009153318</v>
      </c>
      <c r="I637" s="6">
        <f t="shared" si="5"/>
        <v>0.9199084668</v>
      </c>
      <c r="J637" s="1">
        <f t="shared" si="6"/>
        <v>-70</v>
      </c>
      <c r="K637" s="1" t="str">
        <f t="shared" si="7"/>
        <v>Under Forecast</v>
      </c>
      <c r="L637" s="1">
        <f>F637+J636</f>
        <v>-79</v>
      </c>
      <c r="M637" s="7">
        <f t="shared" si="10"/>
        <v>72.75628931</v>
      </c>
      <c r="N637" s="7">
        <f t="shared" si="8"/>
        <v>-1.085816783</v>
      </c>
      <c r="O637" s="2" t="str">
        <f t="shared" si="9"/>
        <v>Acceptable</v>
      </c>
    </row>
    <row r="638" ht="15.75" customHeight="1">
      <c r="A638" s="1" t="s">
        <v>82</v>
      </c>
      <c r="B638" s="1" t="s">
        <v>69</v>
      </c>
      <c r="C638" s="1" t="s">
        <v>17</v>
      </c>
      <c r="D638" s="1">
        <v>608.0</v>
      </c>
      <c r="E638" s="1">
        <v>579.0</v>
      </c>
      <c r="F638" s="1">
        <f t="shared" si="2"/>
        <v>-29</v>
      </c>
      <c r="G638" s="1">
        <f t="shared" si="3"/>
        <v>29</v>
      </c>
      <c r="H638" s="6">
        <f t="shared" si="4"/>
        <v>0.04769736842</v>
      </c>
      <c r="I638" s="6">
        <f t="shared" si="5"/>
        <v>0.9523026316</v>
      </c>
      <c r="J638" s="1">
        <f t="shared" si="6"/>
        <v>-29</v>
      </c>
      <c r="K638" s="1" t="str">
        <f t="shared" si="7"/>
        <v>Under Forecast</v>
      </c>
      <c r="L638" s="1">
        <f>F638</f>
        <v>-29</v>
      </c>
      <c r="M638" s="7">
        <f t="shared" si="10"/>
        <v>72.68759812</v>
      </c>
      <c r="N638" s="7">
        <f t="shared" si="8"/>
        <v>-0.3989676472</v>
      </c>
      <c r="O638" s="2" t="str">
        <f t="shared" si="9"/>
        <v>Acceptable</v>
      </c>
    </row>
    <row r="639" ht="15.75" customHeight="1">
      <c r="A639" s="1" t="s">
        <v>82</v>
      </c>
      <c r="B639" s="1" t="s">
        <v>69</v>
      </c>
      <c r="C639" s="1" t="s">
        <v>18</v>
      </c>
      <c r="D639" s="1">
        <v>559.0</v>
      </c>
      <c r="E639" s="1">
        <v>666.0</v>
      </c>
      <c r="F639" s="1">
        <f t="shared" si="2"/>
        <v>107</v>
      </c>
      <c r="G639" s="1">
        <f t="shared" si="3"/>
        <v>107</v>
      </c>
      <c r="H639" s="6">
        <f t="shared" si="4"/>
        <v>0.1914132379</v>
      </c>
      <c r="I639" s="6">
        <f t="shared" si="5"/>
        <v>0.8085867621</v>
      </c>
      <c r="J639" s="1">
        <f t="shared" si="6"/>
        <v>107</v>
      </c>
      <c r="K639" s="1" t="str">
        <f t="shared" si="7"/>
        <v>Over Forecast</v>
      </c>
      <c r="L639" s="1">
        <f>F639+J638</f>
        <v>78</v>
      </c>
      <c r="M639" s="7">
        <f t="shared" si="10"/>
        <v>72.74137931</v>
      </c>
      <c r="N639" s="7">
        <f t="shared" si="8"/>
        <v>1.072292012</v>
      </c>
      <c r="O639" s="2" t="str">
        <f t="shared" si="9"/>
        <v>Acceptable</v>
      </c>
    </row>
    <row r="640" ht="15.75" customHeight="1">
      <c r="A640" s="1" t="s">
        <v>82</v>
      </c>
      <c r="B640" s="1" t="s">
        <v>69</v>
      </c>
      <c r="C640" s="1" t="s">
        <v>19</v>
      </c>
      <c r="D640" s="1">
        <v>586.0</v>
      </c>
      <c r="E640" s="1">
        <v>677.0</v>
      </c>
      <c r="F640" s="1">
        <f t="shared" si="2"/>
        <v>91</v>
      </c>
      <c r="G640" s="1">
        <f t="shared" si="3"/>
        <v>91</v>
      </c>
      <c r="H640" s="6">
        <f t="shared" si="4"/>
        <v>0.1552901024</v>
      </c>
      <c r="I640" s="6">
        <f t="shared" si="5"/>
        <v>0.8447098976</v>
      </c>
      <c r="J640" s="1">
        <f t="shared" si="6"/>
        <v>91</v>
      </c>
      <c r="K640" s="1" t="str">
        <f t="shared" si="7"/>
        <v>Over Forecast</v>
      </c>
      <c r="L640" s="1">
        <f>F640</f>
        <v>91</v>
      </c>
      <c r="M640" s="7">
        <f t="shared" si="10"/>
        <v>72.76995305</v>
      </c>
      <c r="N640" s="7">
        <f t="shared" si="8"/>
        <v>1.250516129</v>
      </c>
      <c r="O640" s="2" t="str">
        <f t="shared" si="9"/>
        <v>Acceptable</v>
      </c>
    </row>
    <row r="641" ht="15.75" customHeight="1">
      <c r="A641" s="1" t="s">
        <v>82</v>
      </c>
      <c r="B641" s="1" t="s">
        <v>69</v>
      </c>
      <c r="C641" s="1" t="s">
        <v>20</v>
      </c>
      <c r="D641" s="1">
        <v>655.0</v>
      </c>
      <c r="E641" s="1">
        <v>638.0</v>
      </c>
      <c r="F641" s="1">
        <f t="shared" si="2"/>
        <v>-17</v>
      </c>
      <c r="G641" s="1">
        <f t="shared" si="3"/>
        <v>17</v>
      </c>
      <c r="H641" s="6">
        <f t="shared" si="4"/>
        <v>0.02595419847</v>
      </c>
      <c r="I641" s="6">
        <f t="shared" si="5"/>
        <v>0.9740458015</v>
      </c>
      <c r="J641" s="1">
        <f t="shared" si="6"/>
        <v>-17</v>
      </c>
      <c r="K641" s="1" t="str">
        <f t="shared" si="7"/>
        <v>Under Forecast</v>
      </c>
      <c r="L641" s="1">
        <f>F641+J640</f>
        <v>74</v>
      </c>
      <c r="M641" s="7">
        <f t="shared" si="10"/>
        <v>72.6828125</v>
      </c>
      <c r="N641" s="7">
        <f t="shared" si="8"/>
        <v>1.018122407</v>
      </c>
      <c r="O641" s="2" t="str">
        <f t="shared" si="9"/>
        <v>Acceptable</v>
      </c>
    </row>
    <row r="642" ht="15.75" customHeight="1">
      <c r="A642" s="1" t="s">
        <v>82</v>
      </c>
      <c r="B642" s="1" t="s">
        <v>69</v>
      </c>
      <c r="C642" s="1" t="s">
        <v>21</v>
      </c>
      <c r="D642" s="1">
        <v>739.0</v>
      </c>
      <c r="E642" s="1">
        <v>763.0</v>
      </c>
      <c r="F642" s="1">
        <f t="shared" si="2"/>
        <v>24</v>
      </c>
      <c r="G642" s="1">
        <f t="shared" si="3"/>
        <v>24</v>
      </c>
      <c r="H642" s="6">
        <f t="shared" si="4"/>
        <v>0.03247631935</v>
      </c>
      <c r="I642" s="6">
        <f t="shared" si="5"/>
        <v>0.9675236806</v>
      </c>
      <c r="J642" s="1">
        <f t="shared" si="6"/>
        <v>24</v>
      </c>
      <c r="K642" s="1" t="str">
        <f t="shared" si="7"/>
        <v>Over Forecast</v>
      </c>
      <c r="L642" s="1">
        <f>F642</f>
        <v>24</v>
      </c>
      <c r="M642" s="7">
        <f t="shared" si="10"/>
        <v>72.60686427</v>
      </c>
      <c r="N642" s="7">
        <f t="shared" si="8"/>
        <v>0.3305472594</v>
      </c>
      <c r="O642" s="2" t="str">
        <f t="shared" si="9"/>
        <v>Acceptable</v>
      </c>
    </row>
    <row r="643" ht="15.75" customHeight="1">
      <c r="A643" s="1" t="s">
        <v>82</v>
      </c>
      <c r="B643" s="1" t="s">
        <v>69</v>
      </c>
      <c r="C643" s="1" t="s">
        <v>22</v>
      </c>
      <c r="D643" s="1">
        <v>716.0</v>
      </c>
      <c r="E643" s="1">
        <v>721.0</v>
      </c>
      <c r="F643" s="1">
        <f t="shared" si="2"/>
        <v>5</v>
      </c>
      <c r="G643" s="1">
        <f t="shared" si="3"/>
        <v>5</v>
      </c>
      <c r="H643" s="6">
        <f t="shared" si="4"/>
        <v>0.006983240223</v>
      </c>
      <c r="I643" s="6">
        <f t="shared" si="5"/>
        <v>0.9930167598</v>
      </c>
      <c r="J643" s="1">
        <f t="shared" si="6"/>
        <v>5</v>
      </c>
      <c r="K643" s="1" t="str">
        <f t="shared" si="7"/>
        <v>Over Forecast</v>
      </c>
      <c r="L643" s="1">
        <f>F643+J642</f>
        <v>29</v>
      </c>
      <c r="M643" s="7">
        <f t="shared" si="10"/>
        <v>72.50155763</v>
      </c>
      <c r="N643" s="7">
        <f t="shared" si="8"/>
        <v>0.3999914064</v>
      </c>
      <c r="O643" s="2" t="str">
        <f t="shared" si="9"/>
        <v>Acceptable</v>
      </c>
    </row>
    <row r="644" ht="15.75" customHeight="1">
      <c r="A644" s="1" t="s">
        <v>82</v>
      </c>
      <c r="B644" s="1" t="s">
        <v>69</v>
      </c>
      <c r="C644" s="1" t="s">
        <v>23</v>
      </c>
      <c r="D644" s="1">
        <v>754.0</v>
      </c>
      <c r="E644" s="1">
        <v>715.0</v>
      </c>
      <c r="F644" s="1">
        <f t="shared" si="2"/>
        <v>-39</v>
      </c>
      <c r="G644" s="1">
        <f t="shared" si="3"/>
        <v>39</v>
      </c>
      <c r="H644" s="6">
        <f t="shared" si="4"/>
        <v>0.05172413793</v>
      </c>
      <c r="I644" s="6">
        <f t="shared" si="5"/>
        <v>0.9482758621</v>
      </c>
      <c r="J644" s="1">
        <f t="shared" si="6"/>
        <v>-39</v>
      </c>
      <c r="K644" s="1" t="str">
        <f t="shared" si="7"/>
        <v>Under Forecast</v>
      </c>
      <c r="L644" s="1">
        <f>F644</f>
        <v>-39</v>
      </c>
      <c r="M644" s="7">
        <f t="shared" si="10"/>
        <v>72.44945568</v>
      </c>
      <c r="N644" s="7">
        <f t="shared" si="8"/>
        <v>-0.5383063218</v>
      </c>
      <c r="O644" s="2" t="str">
        <f t="shared" si="9"/>
        <v>Acceptable</v>
      </c>
    </row>
    <row r="645" ht="15.75" customHeight="1">
      <c r="A645" s="1" t="s">
        <v>82</v>
      </c>
      <c r="B645" s="1" t="s">
        <v>69</v>
      </c>
      <c r="C645" s="1" t="s">
        <v>24</v>
      </c>
      <c r="D645" s="1">
        <v>711.0</v>
      </c>
      <c r="E645" s="1">
        <v>846.0</v>
      </c>
      <c r="F645" s="1">
        <f t="shared" si="2"/>
        <v>135</v>
      </c>
      <c r="G645" s="1">
        <f t="shared" si="3"/>
        <v>135</v>
      </c>
      <c r="H645" s="6">
        <f t="shared" si="4"/>
        <v>0.1898734177</v>
      </c>
      <c r="I645" s="6">
        <f t="shared" si="5"/>
        <v>0.8101265823</v>
      </c>
      <c r="J645" s="1">
        <f t="shared" si="6"/>
        <v>135</v>
      </c>
      <c r="K645" s="1" t="str">
        <f t="shared" si="7"/>
        <v>Over Forecast</v>
      </c>
      <c r="L645" s="1">
        <f>F645+J644</f>
        <v>96</v>
      </c>
      <c r="M645" s="7">
        <f t="shared" si="10"/>
        <v>72.54658385</v>
      </c>
      <c r="N645" s="7">
        <f t="shared" si="8"/>
        <v>1.323287671</v>
      </c>
      <c r="O645" s="2" t="str">
        <f t="shared" si="9"/>
        <v>Acceptable</v>
      </c>
    </row>
    <row r="646" ht="15.75" customHeight="1">
      <c r="A646" s="1" t="s">
        <v>82</v>
      </c>
      <c r="B646" s="1" t="s">
        <v>69</v>
      </c>
      <c r="C646" s="1" t="s">
        <v>25</v>
      </c>
      <c r="D646" s="1">
        <v>665.0</v>
      </c>
      <c r="E646" s="1">
        <v>729.0</v>
      </c>
      <c r="F646" s="1">
        <f t="shared" si="2"/>
        <v>64</v>
      </c>
      <c r="G646" s="1">
        <f t="shared" si="3"/>
        <v>64</v>
      </c>
      <c r="H646" s="6">
        <f t="shared" si="4"/>
        <v>0.0962406015</v>
      </c>
      <c r="I646" s="6">
        <f t="shared" si="5"/>
        <v>0.9037593985</v>
      </c>
      <c r="J646" s="1">
        <f t="shared" si="6"/>
        <v>64</v>
      </c>
      <c r="K646" s="1" t="str">
        <f t="shared" si="7"/>
        <v>Over Forecast</v>
      </c>
      <c r="L646" s="1">
        <f>F646</f>
        <v>64</v>
      </c>
      <c r="M646" s="7">
        <f t="shared" si="10"/>
        <v>72.53333333</v>
      </c>
      <c r="N646" s="7">
        <f t="shared" si="8"/>
        <v>0.8823529412</v>
      </c>
      <c r="O646" s="2" t="str">
        <f t="shared" si="9"/>
        <v>Acceptable</v>
      </c>
    </row>
    <row r="647" ht="15.75" customHeight="1">
      <c r="A647" s="1" t="s">
        <v>82</v>
      </c>
      <c r="B647" s="1" t="s">
        <v>69</v>
      </c>
      <c r="C647" s="1" t="s">
        <v>26</v>
      </c>
      <c r="D647" s="1">
        <v>674.0</v>
      </c>
      <c r="E647" s="1">
        <v>762.0</v>
      </c>
      <c r="F647" s="1">
        <f t="shared" si="2"/>
        <v>88</v>
      </c>
      <c r="G647" s="1">
        <f t="shared" si="3"/>
        <v>88</v>
      </c>
      <c r="H647" s="6">
        <f t="shared" si="4"/>
        <v>0.1305637982</v>
      </c>
      <c r="I647" s="6">
        <f t="shared" si="5"/>
        <v>0.8694362018</v>
      </c>
      <c r="J647" s="1">
        <f t="shared" si="6"/>
        <v>88</v>
      </c>
      <c r="K647" s="1" t="str">
        <f t="shared" si="7"/>
        <v>Over Forecast</v>
      </c>
      <c r="L647" s="1">
        <f>F647+J646</f>
        <v>152</v>
      </c>
      <c r="M647" s="7">
        <f t="shared" si="10"/>
        <v>72.55727554</v>
      </c>
      <c r="N647" s="7">
        <f t="shared" si="8"/>
        <v>2.09489674</v>
      </c>
      <c r="O647" s="2" t="str">
        <f t="shared" si="9"/>
        <v>Acceptable</v>
      </c>
    </row>
    <row r="648" ht="15.75" customHeight="1">
      <c r="A648" s="1" t="s">
        <v>82</v>
      </c>
      <c r="B648" s="1" t="s">
        <v>69</v>
      </c>
      <c r="C648" s="1" t="s">
        <v>27</v>
      </c>
      <c r="D648" s="1">
        <v>646.0</v>
      </c>
      <c r="E648" s="1">
        <v>769.0</v>
      </c>
      <c r="F648" s="1">
        <f t="shared" si="2"/>
        <v>123</v>
      </c>
      <c r="G648" s="1">
        <f t="shared" si="3"/>
        <v>123</v>
      </c>
      <c r="H648" s="6">
        <f t="shared" si="4"/>
        <v>0.1904024768</v>
      </c>
      <c r="I648" s="6">
        <f t="shared" si="5"/>
        <v>0.8095975232</v>
      </c>
      <c r="J648" s="1">
        <f t="shared" si="6"/>
        <v>123</v>
      </c>
      <c r="K648" s="1" t="str">
        <f t="shared" si="7"/>
        <v>Over Forecast</v>
      </c>
      <c r="L648" s="1">
        <f>F648</f>
        <v>123</v>
      </c>
      <c r="M648" s="7">
        <f t="shared" si="10"/>
        <v>72.63523957</v>
      </c>
      <c r="N648" s="7">
        <f t="shared" si="8"/>
        <v>1.693392914</v>
      </c>
      <c r="O648" s="2" t="str">
        <f t="shared" si="9"/>
        <v>Acceptable</v>
      </c>
    </row>
    <row r="649" ht="15.75" customHeight="1">
      <c r="A649" s="1" t="s">
        <v>82</v>
      </c>
      <c r="B649" s="1" t="s">
        <v>69</v>
      </c>
      <c r="C649" s="1" t="s">
        <v>28</v>
      </c>
      <c r="D649" s="1">
        <v>682.0</v>
      </c>
      <c r="E649" s="1">
        <v>662.0</v>
      </c>
      <c r="F649" s="1">
        <f t="shared" si="2"/>
        <v>-20</v>
      </c>
      <c r="G649" s="1">
        <f t="shared" si="3"/>
        <v>20</v>
      </c>
      <c r="H649" s="6">
        <f t="shared" si="4"/>
        <v>0.0293255132</v>
      </c>
      <c r="I649" s="6">
        <f t="shared" si="5"/>
        <v>0.9706744868</v>
      </c>
      <c r="J649" s="1">
        <f t="shared" si="6"/>
        <v>-20</v>
      </c>
      <c r="K649" s="1" t="str">
        <f t="shared" si="7"/>
        <v>Under Forecast</v>
      </c>
      <c r="L649" s="1">
        <f>F649+J648</f>
        <v>103</v>
      </c>
      <c r="M649" s="7">
        <f t="shared" si="10"/>
        <v>72.55401235</v>
      </c>
      <c r="N649" s="7">
        <f t="shared" si="8"/>
        <v>1.419632032</v>
      </c>
      <c r="O649" s="2" t="str">
        <f t="shared" si="9"/>
        <v>Acceptable</v>
      </c>
    </row>
    <row r="650" ht="15.75" customHeight="1">
      <c r="A650" s="1" t="s">
        <v>83</v>
      </c>
      <c r="B650" s="1" t="s">
        <v>69</v>
      </c>
      <c r="C650" s="1" t="s">
        <v>17</v>
      </c>
      <c r="D650" s="1">
        <v>456.0</v>
      </c>
      <c r="E650" s="1">
        <v>435.0</v>
      </c>
      <c r="F650" s="1">
        <f t="shared" si="2"/>
        <v>-21</v>
      </c>
      <c r="G650" s="1">
        <f t="shared" si="3"/>
        <v>21</v>
      </c>
      <c r="H650" s="6">
        <f t="shared" si="4"/>
        <v>0.04605263158</v>
      </c>
      <c r="I650" s="6">
        <f t="shared" si="5"/>
        <v>0.9539473684</v>
      </c>
      <c r="J650" s="1">
        <f t="shared" si="6"/>
        <v>-21</v>
      </c>
      <c r="K650" s="1" t="str">
        <f t="shared" si="7"/>
        <v>Under Forecast</v>
      </c>
      <c r="L650" s="1">
        <f>F650</f>
        <v>-21</v>
      </c>
      <c r="M650" s="7">
        <f t="shared" si="10"/>
        <v>72.47457627</v>
      </c>
      <c r="N650" s="7">
        <f t="shared" si="8"/>
        <v>-0.289756782</v>
      </c>
      <c r="O650" s="2" t="str">
        <f t="shared" si="9"/>
        <v>Acceptable</v>
      </c>
    </row>
    <row r="651" ht="15.75" customHeight="1">
      <c r="A651" s="1" t="s">
        <v>83</v>
      </c>
      <c r="B651" s="1" t="s">
        <v>69</v>
      </c>
      <c r="C651" s="1" t="s">
        <v>18</v>
      </c>
      <c r="D651" s="1">
        <v>508.0</v>
      </c>
      <c r="E651" s="1">
        <v>438.0</v>
      </c>
      <c r="F651" s="1">
        <f t="shared" si="2"/>
        <v>-70</v>
      </c>
      <c r="G651" s="1">
        <f t="shared" si="3"/>
        <v>70</v>
      </c>
      <c r="H651" s="6">
        <f t="shared" si="4"/>
        <v>0.1377952756</v>
      </c>
      <c r="I651" s="6">
        <f t="shared" si="5"/>
        <v>0.8622047244</v>
      </c>
      <c r="J651" s="1">
        <f t="shared" si="6"/>
        <v>-70</v>
      </c>
      <c r="K651" s="1" t="str">
        <f t="shared" si="7"/>
        <v>Under Forecast</v>
      </c>
      <c r="L651" s="1">
        <f>F651+J650</f>
        <v>-91</v>
      </c>
      <c r="M651" s="7">
        <f t="shared" si="10"/>
        <v>72.47076923</v>
      </c>
      <c r="N651" s="7">
        <f t="shared" si="8"/>
        <v>-1.255678682</v>
      </c>
      <c r="O651" s="2" t="str">
        <f t="shared" si="9"/>
        <v>Acceptable</v>
      </c>
    </row>
    <row r="652" ht="15.75" customHeight="1">
      <c r="A652" s="1" t="s">
        <v>83</v>
      </c>
      <c r="B652" s="1" t="s">
        <v>69</v>
      </c>
      <c r="C652" s="1" t="s">
        <v>19</v>
      </c>
      <c r="D652" s="1">
        <v>510.0</v>
      </c>
      <c r="E652" s="1">
        <v>508.0</v>
      </c>
      <c r="F652" s="1">
        <f t="shared" si="2"/>
        <v>-2</v>
      </c>
      <c r="G652" s="1">
        <f t="shared" si="3"/>
        <v>2</v>
      </c>
      <c r="H652" s="6">
        <f t="shared" si="4"/>
        <v>0.003921568627</v>
      </c>
      <c r="I652" s="6">
        <f t="shared" si="5"/>
        <v>0.9960784314</v>
      </c>
      <c r="J652" s="1">
        <f t="shared" si="6"/>
        <v>-2</v>
      </c>
      <c r="K652" s="1" t="str">
        <f t="shared" si="7"/>
        <v>Under Forecast</v>
      </c>
      <c r="L652" s="1">
        <f>F652</f>
        <v>-2</v>
      </c>
      <c r="M652" s="7">
        <f t="shared" si="10"/>
        <v>72.3625192</v>
      </c>
      <c r="N652" s="7">
        <f t="shared" si="8"/>
        <v>-0.02763861764</v>
      </c>
      <c r="O652" s="2" t="str">
        <f t="shared" si="9"/>
        <v>Acceptable</v>
      </c>
    </row>
    <row r="653" ht="15.75" customHeight="1">
      <c r="A653" s="1" t="s">
        <v>83</v>
      </c>
      <c r="B653" s="1" t="s">
        <v>69</v>
      </c>
      <c r="C653" s="1" t="s">
        <v>20</v>
      </c>
      <c r="D653" s="1">
        <v>582.0</v>
      </c>
      <c r="E653" s="1">
        <v>521.0</v>
      </c>
      <c r="F653" s="1">
        <f t="shared" si="2"/>
        <v>-61</v>
      </c>
      <c r="G653" s="1">
        <f t="shared" si="3"/>
        <v>61</v>
      </c>
      <c r="H653" s="6">
        <f t="shared" si="4"/>
        <v>0.1048109966</v>
      </c>
      <c r="I653" s="6">
        <f t="shared" si="5"/>
        <v>0.8951890034</v>
      </c>
      <c r="J653" s="1">
        <f t="shared" si="6"/>
        <v>-61</v>
      </c>
      <c r="K653" s="1" t="str">
        <f t="shared" si="7"/>
        <v>Under Forecast</v>
      </c>
      <c r="L653" s="1">
        <f>F653+J652</f>
        <v>-63</v>
      </c>
      <c r="M653" s="7">
        <f t="shared" si="10"/>
        <v>72.34509202</v>
      </c>
      <c r="N653" s="7">
        <f t="shared" si="8"/>
        <v>-0.8708261782</v>
      </c>
      <c r="O653" s="2" t="str">
        <f t="shared" si="9"/>
        <v>Acceptable</v>
      </c>
    </row>
    <row r="654" ht="15.75" customHeight="1">
      <c r="A654" s="1" t="s">
        <v>83</v>
      </c>
      <c r="B654" s="1" t="s">
        <v>69</v>
      </c>
      <c r="C654" s="1" t="s">
        <v>21</v>
      </c>
      <c r="D654" s="1">
        <v>538.0</v>
      </c>
      <c r="E654" s="1">
        <v>502.0</v>
      </c>
      <c r="F654" s="1">
        <f t="shared" si="2"/>
        <v>-36</v>
      </c>
      <c r="G654" s="1">
        <f t="shared" si="3"/>
        <v>36</v>
      </c>
      <c r="H654" s="6">
        <f t="shared" si="4"/>
        <v>0.06691449814</v>
      </c>
      <c r="I654" s="6">
        <f t="shared" si="5"/>
        <v>0.9330855019</v>
      </c>
      <c r="J654" s="1">
        <f t="shared" si="6"/>
        <v>-36</v>
      </c>
      <c r="K654" s="1" t="str">
        <f t="shared" si="7"/>
        <v>Under Forecast</v>
      </c>
      <c r="L654" s="1">
        <f>F654</f>
        <v>-36</v>
      </c>
      <c r="M654" s="7">
        <f t="shared" si="10"/>
        <v>72.28943338</v>
      </c>
      <c r="N654" s="7">
        <f t="shared" si="8"/>
        <v>-0.4979980934</v>
      </c>
      <c r="O654" s="2" t="str">
        <f t="shared" si="9"/>
        <v>Acceptable</v>
      </c>
    </row>
    <row r="655" ht="15.75" customHeight="1">
      <c r="A655" s="1" t="s">
        <v>83</v>
      </c>
      <c r="B655" s="1" t="s">
        <v>69</v>
      </c>
      <c r="C655" s="1" t="s">
        <v>22</v>
      </c>
      <c r="D655" s="1">
        <v>580.0</v>
      </c>
      <c r="E655" s="1">
        <v>537.0</v>
      </c>
      <c r="F655" s="1">
        <f t="shared" si="2"/>
        <v>-43</v>
      </c>
      <c r="G655" s="1">
        <f t="shared" si="3"/>
        <v>43</v>
      </c>
      <c r="H655" s="6">
        <f t="shared" si="4"/>
        <v>0.07413793103</v>
      </c>
      <c r="I655" s="6">
        <f t="shared" si="5"/>
        <v>0.925862069</v>
      </c>
      <c r="J655" s="1">
        <f t="shared" si="6"/>
        <v>-43</v>
      </c>
      <c r="K655" s="1" t="str">
        <f t="shared" si="7"/>
        <v>Under Forecast</v>
      </c>
      <c r="L655" s="1">
        <f>F655+J654</f>
        <v>-79</v>
      </c>
      <c r="M655" s="7">
        <f t="shared" si="10"/>
        <v>72.24464832</v>
      </c>
      <c r="N655" s="7">
        <f t="shared" si="8"/>
        <v>-1.093506603</v>
      </c>
      <c r="O655" s="2" t="str">
        <f t="shared" si="9"/>
        <v>Acceptable</v>
      </c>
    </row>
    <row r="656" ht="15.75" customHeight="1">
      <c r="A656" s="1" t="s">
        <v>83</v>
      </c>
      <c r="B656" s="1" t="s">
        <v>69</v>
      </c>
      <c r="C656" s="1" t="s">
        <v>23</v>
      </c>
      <c r="D656" s="1">
        <v>587.0</v>
      </c>
      <c r="E656" s="1">
        <v>619.0</v>
      </c>
      <c r="F656" s="1">
        <f t="shared" si="2"/>
        <v>32</v>
      </c>
      <c r="G656" s="1">
        <f t="shared" si="3"/>
        <v>32</v>
      </c>
      <c r="H656" s="6">
        <f t="shared" si="4"/>
        <v>0.05451448041</v>
      </c>
      <c r="I656" s="6">
        <f t="shared" si="5"/>
        <v>0.9454855196</v>
      </c>
      <c r="J656" s="1">
        <f t="shared" si="6"/>
        <v>32</v>
      </c>
      <c r="K656" s="1" t="str">
        <f t="shared" si="7"/>
        <v>Over Forecast</v>
      </c>
      <c r="L656" s="1">
        <f>F656</f>
        <v>32</v>
      </c>
      <c r="M656" s="7">
        <f t="shared" si="10"/>
        <v>72.18320611</v>
      </c>
      <c r="N656" s="7">
        <f t="shared" si="8"/>
        <v>0.4433164129</v>
      </c>
      <c r="O656" s="2" t="str">
        <f t="shared" si="9"/>
        <v>Acceptable</v>
      </c>
    </row>
    <row r="657" ht="15.75" customHeight="1">
      <c r="A657" s="1" t="s">
        <v>83</v>
      </c>
      <c r="B657" s="1" t="s">
        <v>69</v>
      </c>
      <c r="C657" s="1" t="s">
        <v>24</v>
      </c>
      <c r="D657" s="1">
        <v>590.0</v>
      </c>
      <c r="E657" s="1">
        <v>562.0</v>
      </c>
      <c r="F657" s="1">
        <f t="shared" si="2"/>
        <v>-28</v>
      </c>
      <c r="G657" s="1">
        <f t="shared" si="3"/>
        <v>28</v>
      </c>
      <c r="H657" s="6">
        <f t="shared" si="4"/>
        <v>0.04745762712</v>
      </c>
      <c r="I657" s="6">
        <f t="shared" si="5"/>
        <v>0.9525423729</v>
      </c>
      <c r="J657" s="1">
        <f t="shared" si="6"/>
        <v>-28</v>
      </c>
      <c r="K657" s="1" t="str">
        <f t="shared" si="7"/>
        <v>Under Forecast</v>
      </c>
      <c r="L657" s="1">
        <f>F657+J656</f>
        <v>4</v>
      </c>
      <c r="M657" s="7">
        <f t="shared" si="10"/>
        <v>72.11585366</v>
      </c>
      <c r="N657" s="7">
        <f t="shared" si="8"/>
        <v>0.05546630591</v>
      </c>
      <c r="O657" s="2" t="str">
        <f t="shared" si="9"/>
        <v>Acceptable</v>
      </c>
    </row>
    <row r="658" ht="15.75" customHeight="1">
      <c r="A658" s="1" t="s">
        <v>83</v>
      </c>
      <c r="B658" s="1" t="s">
        <v>69</v>
      </c>
      <c r="C658" s="1" t="s">
        <v>25</v>
      </c>
      <c r="D658" s="1">
        <v>579.0</v>
      </c>
      <c r="E658" s="1">
        <v>571.0</v>
      </c>
      <c r="F658" s="1">
        <f t="shared" si="2"/>
        <v>-8</v>
      </c>
      <c r="G658" s="1">
        <f t="shared" si="3"/>
        <v>8</v>
      </c>
      <c r="H658" s="6">
        <f t="shared" si="4"/>
        <v>0.01381692573</v>
      </c>
      <c r="I658" s="6">
        <f t="shared" si="5"/>
        <v>0.9861830743</v>
      </c>
      <c r="J658" s="1">
        <f t="shared" si="6"/>
        <v>-8</v>
      </c>
      <c r="K658" s="1" t="str">
        <f t="shared" si="7"/>
        <v>Under Forecast</v>
      </c>
      <c r="L658" s="1">
        <f>F658</f>
        <v>-8</v>
      </c>
      <c r="M658" s="7">
        <f t="shared" si="10"/>
        <v>72.01826484</v>
      </c>
      <c r="N658" s="7">
        <f t="shared" si="8"/>
        <v>-0.1110829318</v>
      </c>
      <c r="O658" s="2" t="str">
        <f t="shared" si="9"/>
        <v>Acceptable</v>
      </c>
    </row>
    <row r="659" ht="15.75" customHeight="1">
      <c r="A659" s="1" t="s">
        <v>83</v>
      </c>
      <c r="B659" s="1" t="s">
        <v>69</v>
      </c>
      <c r="C659" s="1" t="s">
        <v>26</v>
      </c>
      <c r="D659" s="1">
        <v>537.0</v>
      </c>
      <c r="E659" s="1">
        <v>445.0</v>
      </c>
      <c r="F659" s="1">
        <f t="shared" si="2"/>
        <v>-92</v>
      </c>
      <c r="G659" s="1">
        <f t="shared" si="3"/>
        <v>92</v>
      </c>
      <c r="H659" s="6">
        <f t="shared" si="4"/>
        <v>0.1713221601</v>
      </c>
      <c r="I659" s="6">
        <f t="shared" si="5"/>
        <v>0.8286778399</v>
      </c>
      <c r="J659" s="1">
        <f t="shared" si="6"/>
        <v>-92</v>
      </c>
      <c r="K659" s="1" t="str">
        <f t="shared" si="7"/>
        <v>Under Forecast</v>
      </c>
      <c r="L659" s="1">
        <f>F659+J658</f>
        <v>-100</v>
      </c>
      <c r="M659" s="7">
        <f t="shared" si="10"/>
        <v>72.04863222</v>
      </c>
      <c r="N659" s="7">
        <f t="shared" si="8"/>
        <v>-1.387951401</v>
      </c>
      <c r="O659" s="2" t="str">
        <f t="shared" si="9"/>
        <v>Acceptable</v>
      </c>
    </row>
    <row r="660" ht="15.75" customHeight="1">
      <c r="A660" s="1" t="s">
        <v>83</v>
      </c>
      <c r="B660" s="1" t="s">
        <v>69</v>
      </c>
      <c r="C660" s="1" t="s">
        <v>27</v>
      </c>
      <c r="D660" s="1">
        <v>577.0</v>
      </c>
      <c r="E660" s="1">
        <v>494.0</v>
      </c>
      <c r="F660" s="1">
        <f t="shared" si="2"/>
        <v>-83</v>
      </c>
      <c r="G660" s="1">
        <f t="shared" si="3"/>
        <v>83</v>
      </c>
      <c r="H660" s="6">
        <f t="shared" si="4"/>
        <v>0.143847487</v>
      </c>
      <c r="I660" s="6">
        <f t="shared" si="5"/>
        <v>0.856152513</v>
      </c>
      <c r="J660" s="1">
        <f t="shared" si="6"/>
        <v>-83</v>
      </c>
      <c r="K660" s="1" t="str">
        <f t="shared" si="7"/>
        <v>Under Forecast</v>
      </c>
      <c r="L660" s="1">
        <f>F660</f>
        <v>-83</v>
      </c>
      <c r="M660" s="7">
        <f t="shared" si="10"/>
        <v>72.06525038</v>
      </c>
      <c r="N660" s="7">
        <f t="shared" si="8"/>
        <v>-1.151734013</v>
      </c>
      <c r="O660" s="2" t="str">
        <f t="shared" si="9"/>
        <v>Acceptable</v>
      </c>
    </row>
    <row r="661" ht="15.75" customHeight="1">
      <c r="A661" s="1" t="s">
        <v>83</v>
      </c>
      <c r="B661" s="1" t="s">
        <v>69</v>
      </c>
      <c r="C661" s="1" t="s">
        <v>28</v>
      </c>
      <c r="D661" s="1">
        <v>486.0</v>
      </c>
      <c r="E661" s="1">
        <v>406.0</v>
      </c>
      <c r="F661" s="1">
        <f t="shared" si="2"/>
        <v>-80</v>
      </c>
      <c r="G661" s="1">
        <f t="shared" si="3"/>
        <v>80</v>
      </c>
      <c r="H661" s="6">
        <f t="shared" si="4"/>
        <v>0.1646090535</v>
      </c>
      <c r="I661" s="6">
        <f t="shared" si="5"/>
        <v>0.8353909465</v>
      </c>
      <c r="J661" s="1">
        <f t="shared" si="6"/>
        <v>-80</v>
      </c>
      <c r="K661" s="1" t="str">
        <f t="shared" si="7"/>
        <v>Under Forecast</v>
      </c>
      <c r="L661" s="1">
        <f>F661+J660</f>
        <v>-163</v>
      </c>
      <c r="M661" s="7">
        <f t="shared" si="10"/>
        <v>72.07727273</v>
      </c>
      <c r="N661" s="7">
        <f t="shared" si="8"/>
        <v>-2.261461815</v>
      </c>
      <c r="O661" s="2" t="str">
        <f t="shared" si="9"/>
        <v>Acceptable</v>
      </c>
    </row>
    <row r="662" ht="15.75" customHeight="1">
      <c r="A662" s="1" t="s">
        <v>84</v>
      </c>
      <c r="B662" s="1" t="s">
        <v>69</v>
      </c>
      <c r="C662" s="1" t="s">
        <v>17</v>
      </c>
      <c r="D662" s="1">
        <v>280.0</v>
      </c>
      <c r="E662" s="1">
        <v>302.0</v>
      </c>
      <c r="F662" s="1">
        <f t="shared" si="2"/>
        <v>22</v>
      </c>
      <c r="G662" s="1">
        <f t="shared" si="3"/>
        <v>22</v>
      </c>
      <c r="H662" s="6">
        <f t="shared" si="4"/>
        <v>0.07857142857</v>
      </c>
      <c r="I662" s="6">
        <f t="shared" si="5"/>
        <v>0.9214285714</v>
      </c>
      <c r="J662" s="1">
        <f t="shared" si="6"/>
        <v>22</v>
      </c>
      <c r="K662" s="1" t="str">
        <f t="shared" si="7"/>
        <v>Over Forecast</v>
      </c>
      <c r="L662" s="1">
        <f>F662</f>
        <v>22</v>
      </c>
      <c r="M662" s="7">
        <f t="shared" si="10"/>
        <v>72.00151286</v>
      </c>
      <c r="N662" s="7">
        <f t="shared" si="8"/>
        <v>0.3055491354</v>
      </c>
      <c r="O662" s="2" t="str">
        <f t="shared" si="9"/>
        <v>Acceptable</v>
      </c>
    </row>
    <row r="663" ht="15.75" customHeight="1">
      <c r="A663" s="1" t="s">
        <v>84</v>
      </c>
      <c r="B663" s="1" t="s">
        <v>69</v>
      </c>
      <c r="C663" s="1" t="s">
        <v>18</v>
      </c>
      <c r="D663" s="1">
        <v>280.0</v>
      </c>
      <c r="E663" s="1">
        <v>266.0</v>
      </c>
      <c r="F663" s="1">
        <f t="shared" si="2"/>
        <v>-14</v>
      </c>
      <c r="G663" s="1">
        <f t="shared" si="3"/>
        <v>14</v>
      </c>
      <c r="H663" s="6">
        <f t="shared" si="4"/>
        <v>0.05</v>
      </c>
      <c r="I663" s="6">
        <f t="shared" si="5"/>
        <v>0.95</v>
      </c>
      <c r="J663" s="1">
        <f t="shared" si="6"/>
        <v>-14</v>
      </c>
      <c r="K663" s="1" t="str">
        <f t="shared" si="7"/>
        <v>Under Forecast</v>
      </c>
      <c r="L663" s="1">
        <f>F663+J662</f>
        <v>8</v>
      </c>
      <c r="M663" s="7">
        <f t="shared" si="10"/>
        <v>71.91389728</v>
      </c>
      <c r="N663" s="7">
        <f t="shared" si="8"/>
        <v>0.1112441448</v>
      </c>
      <c r="O663" s="2" t="str">
        <f t="shared" si="9"/>
        <v>Acceptable</v>
      </c>
    </row>
    <row r="664" ht="15.75" customHeight="1">
      <c r="A664" s="1" t="s">
        <v>84</v>
      </c>
      <c r="B664" s="1" t="s">
        <v>69</v>
      </c>
      <c r="C664" s="1" t="s">
        <v>19</v>
      </c>
      <c r="D664" s="1">
        <v>273.0</v>
      </c>
      <c r="E664" s="1">
        <v>230.0</v>
      </c>
      <c r="F664" s="1">
        <f t="shared" si="2"/>
        <v>-43</v>
      </c>
      <c r="G664" s="1">
        <f t="shared" si="3"/>
        <v>43</v>
      </c>
      <c r="H664" s="6">
        <f t="shared" si="4"/>
        <v>0.1575091575</v>
      </c>
      <c r="I664" s="6">
        <f t="shared" si="5"/>
        <v>0.8424908425</v>
      </c>
      <c r="J664" s="1">
        <f t="shared" si="6"/>
        <v>-43</v>
      </c>
      <c r="K664" s="1" t="str">
        <f t="shared" si="7"/>
        <v>Under Forecast</v>
      </c>
      <c r="L664" s="1">
        <f>F664</f>
        <v>-43</v>
      </c>
      <c r="M664" s="7">
        <f t="shared" si="10"/>
        <v>71.87028658</v>
      </c>
      <c r="N664" s="7">
        <f t="shared" si="8"/>
        <v>-0.5983001049</v>
      </c>
      <c r="O664" s="2" t="str">
        <f t="shared" si="9"/>
        <v>Acceptable</v>
      </c>
    </row>
    <row r="665" ht="15.75" customHeight="1">
      <c r="A665" s="1" t="s">
        <v>84</v>
      </c>
      <c r="B665" s="1" t="s">
        <v>69</v>
      </c>
      <c r="C665" s="1" t="s">
        <v>20</v>
      </c>
      <c r="D665" s="1">
        <v>338.0</v>
      </c>
      <c r="E665" s="1">
        <v>368.0</v>
      </c>
      <c r="F665" s="1">
        <f t="shared" si="2"/>
        <v>30</v>
      </c>
      <c r="G665" s="1">
        <f t="shared" si="3"/>
        <v>30</v>
      </c>
      <c r="H665" s="6">
        <f t="shared" si="4"/>
        <v>0.08875739645</v>
      </c>
      <c r="I665" s="6">
        <f t="shared" si="5"/>
        <v>0.9112426036</v>
      </c>
      <c r="J665" s="1">
        <f t="shared" si="6"/>
        <v>30</v>
      </c>
      <c r="K665" s="1" t="str">
        <f t="shared" si="7"/>
        <v>Over Forecast</v>
      </c>
      <c r="L665" s="1">
        <f>F665+J664</f>
        <v>-13</v>
      </c>
      <c r="M665" s="7">
        <f t="shared" si="10"/>
        <v>71.80722892</v>
      </c>
      <c r="N665" s="7">
        <f t="shared" si="8"/>
        <v>-0.1810402685</v>
      </c>
      <c r="O665" s="2" t="str">
        <f t="shared" si="9"/>
        <v>Acceptable</v>
      </c>
    </row>
    <row r="666" ht="15.75" customHeight="1">
      <c r="A666" s="1" t="s">
        <v>84</v>
      </c>
      <c r="B666" s="1" t="s">
        <v>69</v>
      </c>
      <c r="C666" s="1" t="s">
        <v>21</v>
      </c>
      <c r="D666" s="1">
        <v>284.0</v>
      </c>
      <c r="E666" s="1">
        <v>308.0</v>
      </c>
      <c r="F666" s="1">
        <f t="shared" si="2"/>
        <v>24</v>
      </c>
      <c r="G666" s="1">
        <f t="shared" si="3"/>
        <v>24</v>
      </c>
      <c r="H666" s="6">
        <f t="shared" si="4"/>
        <v>0.08450704225</v>
      </c>
      <c r="I666" s="6">
        <f t="shared" si="5"/>
        <v>0.9154929577</v>
      </c>
      <c r="J666" s="1">
        <f t="shared" si="6"/>
        <v>24</v>
      </c>
      <c r="K666" s="1" t="str">
        <f t="shared" si="7"/>
        <v>Over Forecast</v>
      </c>
      <c r="L666" s="1">
        <f>F666</f>
        <v>24</v>
      </c>
      <c r="M666" s="7">
        <f t="shared" si="10"/>
        <v>71.73533835</v>
      </c>
      <c r="N666" s="7">
        <f t="shared" si="8"/>
        <v>0.3345631394</v>
      </c>
      <c r="O666" s="2" t="str">
        <f t="shared" si="9"/>
        <v>Acceptable</v>
      </c>
    </row>
    <row r="667" ht="15.75" customHeight="1">
      <c r="A667" s="1" t="s">
        <v>84</v>
      </c>
      <c r="B667" s="1" t="s">
        <v>69</v>
      </c>
      <c r="C667" s="1" t="s">
        <v>22</v>
      </c>
      <c r="D667" s="1">
        <v>328.0</v>
      </c>
      <c r="E667" s="1">
        <v>347.0</v>
      </c>
      <c r="F667" s="1">
        <f t="shared" si="2"/>
        <v>19</v>
      </c>
      <c r="G667" s="1">
        <f t="shared" si="3"/>
        <v>19</v>
      </c>
      <c r="H667" s="6">
        <f t="shared" si="4"/>
        <v>0.05792682927</v>
      </c>
      <c r="I667" s="6">
        <f t="shared" si="5"/>
        <v>0.9420731707</v>
      </c>
      <c r="J667" s="1">
        <f t="shared" si="6"/>
        <v>19</v>
      </c>
      <c r="K667" s="1" t="str">
        <f t="shared" si="7"/>
        <v>Over Forecast</v>
      </c>
      <c r="L667" s="1">
        <f>F667+J666</f>
        <v>43</v>
      </c>
      <c r="M667" s="7">
        <f t="shared" si="10"/>
        <v>71.65615616</v>
      </c>
      <c r="N667" s="7">
        <f t="shared" si="8"/>
        <v>0.6000880079</v>
      </c>
      <c r="O667" s="2" t="str">
        <f t="shared" si="9"/>
        <v>Acceptable</v>
      </c>
    </row>
    <row r="668" ht="15.75" customHeight="1">
      <c r="A668" s="1" t="s">
        <v>84</v>
      </c>
      <c r="B668" s="1" t="s">
        <v>69</v>
      </c>
      <c r="C668" s="1" t="s">
        <v>23</v>
      </c>
      <c r="D668" s="1">
        <v>321.0</v>
      </c>
      <c r="E668" s="1">
        <v>306.0</v>
      </c>
      <c r="F668" s="1">
        <f t="shared" si="2"/>
        <v>-15</v>
      </c>
      <c r="G668" s="1">
        <f t="shared" si="3"/>
        <v>15</v>
      </c>
      <c r="H668" s="6">
        <f t="shared" si="4"/>
        <v>0.04672897196</v>
      </c>
      <c r="I668" s="6">
        <f t="shared" si="5"/>
        <v>0.953271028</v>
      </c>
      <c r="J668" s="1">
        <f t="shared" si="6"/>
        <v>-15</v>
      </c>
      <c r="K668" s="1" t="str">
        <f t="shared" si="7"/>
        <v>Under Forecast</v>
      </c>
      <c r="L668" s="1">
        <f>F668</f>
        <v>-15</v>
      </c>
      <c r="M668" s="7">
        <f t="shared" si="10"/>
        <v>71.57121439</v>
      </c>
      <c r="N668" s="7">
        <f t="shared" si="8"/>
        <v>-0.2095814655</v>
      </c>
      <c r="O668" s="2" t="str">
        <f t="shared" si="9"/>
        <v>Acceptable</v>
      </c>
    </row>
    <row r="669" ht="15.75" customHeight="1">
      <c r="A669" s="1" t="s">
        <v>84</v>
      </c>
      <c r="B669" s="1" t="s">
        <v>69</v>
      </c>
      <c r="C669" s="1" t="s">
        <v>24</v>
      </c>
      <c r="D669" s="1">
        <v>310.0</v>
      </c>
      <c r="E669" s="1">
        <v>310.0</v>
      </c>
      <c r="F669" s="1">
        <f t="shared" si="2"/>
        <v>0</v>
      </c>
      <c r="G669" s="1">
        <f t="shared" si="3"/>
        <v>0</v>
      </c>
      <c r="H669" s="6">
        <f t="shared" si="4"/>
        <v>0</v>
      </c>
      <c r="I669" s="6">
        <f t="shared" si="5"/>
        <v>1</v>
      </c>
      <c r="J669" s="1">
        <f t="shared" si="6"/>
        <v>0</v>
      </c>
      <c r="K669" s="1" t="str">
        <f t="shared" si="7"/>
        <v>Accurate Forecast</v>
      </c>
      <c r="L669" s="1">
        <f>F669+J668</f>
        <v>-15</v>
      </c>
      <c r="M669" s="7">
        <f t="shared" si="10"/>
        <v>71.46407186</v>
      </c>
      <c r="N669" s="7">
        <f t="shared" si="8"/>
        <v>-0.2098956806</v>
      </c>
      <c r="O669" s="2" t="str">
        <f t="shared" si="9"/>
        <v>Acceptable</v>
      </c>
    </row>
    <row r="670" ht="15.75" customHeight="1">
      <c r="A670" s="1" t="s">
        <v>84</v>
      </c>
      <c r="B670" s="1" t="s">
        <v>69</v>
      </c>
      <c r="C670" s="1" t="s">
        <v>25</v>
      </c>
      <c r="D670" s="1">
        <v>271.0</v>
      </c>
      <c r="E670" s="1">
        <v>219.0</v>
      </c>
      <c r="F670" s="1">
        <f t="shared" si="2"/>
        <v>-52</v>
      </c>
      <c r="G670" s="1">
        <f t="shared" si="3"/>
        <v>52</v>
      </c>
      <c r="H670" s="6">
        <f t="shared" si="4"/>
        <v>0.1918819188</v>
      </c>
      <c r="I670" s="6">
        <f t="shared" si="5"/>
        <v>0.8081180812</v>
      </c>
      <c r="J670" s="1">
        <f t="shared" si="6"/>
        <v>-52</v>
      </c>
      <c r="K670" s="1" t="str">
        <f t="shared" si="7"/>
        <v>Under Forecast</v>
      </c>
      <c r="L670" s="1">
        <f>F670</f>
        <v>-52</v>
      </c>
      <c r="M670" s="7">
        <f t="shared" si="10"/>
        <v>71.43497758</v>
      </c>
      <c r="N670" s="7">
        <f t="shared" si="8"/>
        <v>-0.7279347144</v>
      </c>
      <c r="O670" s="2" t="str">
        <f t="shared" si="9"/>
        <v>Acceptable</v>
      </c>
    </row>
    <row r="671" ht="15.75" customHeight="1">
      <c r="A671" s="1" t="s">
        <v>84</v>
      </c>
      <c r="B671" s="1" t="s">
        <v>69</v>
      </c>
      <c r="C671" s="1" t="s">
        <v>26</v>
      </c>
      <c r="D671" s="1">
        <v>274.0</v>
      </c>
      <c r="E671" s="1">
        <v>277.0</v>
      </c>
      <c r="F671" s="1">
        <f t="shared" si="2"/>
        <v>3</v>
      </c>
      <c r="G671" s="1">
        <f t="shared" si="3"/>
        <v>3</v>
      </c>
      <c r="H671" s="6">
        <f t="shared" si="4"/>
        <v>0.01094890511</v>
      </c>
      <c r="I671" s="6">
        <f t="shared" si="5"/>
        <v>0.9890510949</v>
      </c>
      <c r="J671" s="1">
        <f t="shared" si="6"/>
        <v>3</v>
      </c>
      <c r="K671" s="1" t="str">
        <f t="shared" si="7"/>
        <v>Over Forecast</v>
      </c>
      <c r="L671" s="1">
        <f>F671+J670</f>
        <v>-49</v>
      </c>
      <c r="M671" s="7">
        <f t="shared" si="10"/>
        <v>71.33283582</v>
      </c>
      <c r="N671" s="7">
        <f t="shared" si="8"/>
        <v>-0.6869206788</v>
      </c>
      <c r="O671" s="2" t="str">
        <f t="shared" si="9"/>
        <v>Acceptable</v>
      </c>
    </row>
    <row r="672" ht="15.75" customHeight="1">
      <c r="A672" s="1" t="s">
        <v>84</v>
      </c>
      <c r="B672" s="1" t="s">
        <v>69</v>
      </c>
      <c r="C672" s="1" t="s">
        <v>27</v>
      </c>
      <c r="D672" s="1">
        <v>261.0</v>
      </c>
      <c r="E672" s="1">
        <v>261.0</v>
      </c>
      <c r="F672" s="1">
        <f t="shared" si="2"/>
        <v>0</v>
      </c>
      <c r="G672" s="1">
        <f t="shared" si="3"/>
        <v>0</v>
      </c>
      <c r="H672" s="6">
        <f t="shared" si="4"/>
        <v>0</v>
      </c>
      <c r="I672" s="6">
        <f t="shared" si="5"/>
        <v>1</v>
      </c>
      <c r="J672" s="1">
        <f t="shared" si="6"/>
        <v>0</v>
      </c>
      <c r="K672" s="1" t="str">
        <f t="shared" si="7"/>
        <v>Accurate Forecast</v>
      </c>
      <c r="L672" s="1">
        <f>F672</f>
        <v>0</v>
      </c>
      <c r="M672" s="7">
        <f t="shared" si="10"/>
        <v>71.22652757</v>
      </c>
      <c r="N672" s="7">
        <f t="shared" si="8"/>
        <v>0</v>
      </c>
      <c r="O672" s="2" t="str">
        <f t="shared" si="9"/>
        <v>Acceptable</v>
      </c>
    </row>
    <row r="673" ht="15.75" customHeight="1">
      <c r="A673" s="1" t="s">
        <v>84</v>
      </c>
      <c r="B673" s="1" t="s">
        <v>69</v>
      </c>
      <c r="C673" s="1" t="s">
        <v>28</v>
      </c>
      <c r="D673" s="1">
        <v>293.0</v>
      </c>
      <c r="E673" s="1">
        <v>242.0</v>
      </c>
      <c r="F673" s="1">
        <f t="shared" si="2"/>
        <v>-51</v>
      </c>
      <c r="G673" s="1">
        <f t="shared" si="3"/>
        <v>51</v>
      </c>
      <c r="H673" s="6">
        <f t="shared" si="4"/>
        <v>0.1740614334</v>
      </c>
      <c r="I673" s="6">
        <f t="shared" si="5"/>
        <v>0.8259385666</v>
      </c>
      <c r="J673" s="1">
        <f t="shared" si="6"/>
        <v>-51</v>
      </c>
      <c r="K673" s="1" t="str">
        <f t="shared" si="7"/>
        <v>Under Forecast</v>
      </c>
      <c r="L673" s="1">
        <f>F673+J672</f>
        <v>-51</v>
      </c>
      <c r="M673" s="7">
        <f t="shared" si="10"/>
        <v>71.19642857</v>
      </c>
      <c r="N673" s="7">
        <f t="shared" si="8"/>
        <v>-0.7163280662</v>
      </c>
      <c r="O673" s="2" t="str">
        <f t="shared" si="9"/>
        <v>Acceptable</v>
      </c>
    </row>
    <row r="674" ht="15.75" customHeight="1">
      <c r="A674" s="1" t="s">
        <v>85</v>
      </c>
      <c r="B674" s="1" t="s">
        <v>69</v>
      </c>
      <c r="C674" s="1" t="s">
        <v>17</v>
      </c>
      <c r="D674" s="1">
        <v>504.0</v>
      </c>
      <c r="E674" s="1">
        <v>548.0</v>
      </c>
      <c r="F674" s="1">
        <f t="shared" si="2"/>
        <v>44</v>
      </c>
      <c r="G674" s="1">
        <f t="shared" si="3"/>
        <v>44</v>
      </c>
      <c r="H674" s="6">
        <f t="shared" si="4"/>
        <v>0.0873015873</v>
      </c>
      <c r="I674" s="6">
        <f t="shared" si="5"/>
        <v>0.9126984127</v>
      </c>
      <c r="J674" s="1">
        <f t="shared" si="6"/>
        <v>44</v>
      </c>
      <c r="K674" s="1" t="str">
        <f t="shared" si="7"/>
        <v>Over Forecast</v>
      </c>
      <c r="L674" s="1">
        <f>F674</f>
        <v>44</v>
      </c>
      <c r="M674" s="7">
        <f t="shared" si="10"/>
        <v>71.15601783</v>
      </c>
      <c r="N674" s="7">
        <f t="shared" si="8"/>
        <v>0.6183595055</v>
      </c>
      <c r="O674" s="2" t="str">
        <f t="shared" si="9"/>
        <v>Acceptable</v>
      </c>
    </row>
    <row r="675" ht="15.75" customHeight="1">
      <c r="A675" s="1" t="s">
        <v>85</v>
      </c>
      <c r="B675" s="1" t="s">
        <v>69</v>
      </c>
      <c r="C675" s="1" t="s">
        <v>18</v>
      </c>
      <c r="D675" s="1">
        <v>520.0</v>
      </c>
      <c r="E675" s="1">
        <v>519.0</v>
      </c>
      <c r="F675" s="1">
        <f t="shared" si="2"/>
        <v>-1</v>
      </c>
      <c r="G675" s="1">
        <f t="shared" si="3"/>
        <v>1</v>
      </c>
      <c r="H675" s="6">
        <f t="shared" si="4"/>
        <v>0.001923076923</v>
      </c>
      <c r="I675" s="6">
        <f t="shared" si="5"/>
        <v>0.9980769231</v>
      </c>
      <c r="J675" s="1">
        <f t="shared" si="6"/>
        <v>-1</v>
      </c>
      <c r="K675" s="1" t="str">
        <f t="shared" si="7"/>
        <v>Under Forecast</v>
      </c>
      <c r="L675" s="1">
        <f>F675+J674</f>
        <v>43</v>
      </c>
      <c r="M675" s="7">
        <f t="shared" si="10"/>
        <v>71.05192878</v>
      </c>
      <c r="N675" s="7">
        <f t="shared" si="8"/>
        <v>0.6051911713</v>
      </c>
      <c r="O675" s="2" t="str">
        <f t="shared" si="9"/>
        <v>Acceptable</v>
      </c>
    </row>
    <row r="676" ht="15.75" customHeight="1">
      <c r="A676" s="1" t="s">
        <v>85</v>
      </c>
      <c r="B676" s="1" t="s">
        <v>69</v>
      </c>
      <c r="C676" s="1" t="s">
        <v>19</v>
      </c>
      <c r="D676" s="1">
        <v>622.0</v>
      </c>
      <c r="E676" s="1">
        <v>567.0</v>
      </c>
      <c r="F676" s="1">
        <f t="shared" si="2"/>
        <v>-55</v>
      </c>
      <c r="G676" s="1">
        <f t="shared" si="3"/>
        <v>55</v>
      </c>
      <c r="H676" s="6">
        <f t="shared" si="4"/>
        <v>0.0884244373</v>
      </c>
      <c r="I676" s="6">
        <f t="shared" si="5"/>
        <v>0.9115755627</v>
      </c>
      <c r="J676" s="1">
        <f t="shared" si="6"/>
        <v>-55</v>
      </c>
      <c r="K676" s="1" t="str">
        <f t="shared" si="7"/>
        <v>Under Forecast</v>
      </c>
      <c r="L676" s="1">
        <f>F676</f>
        <v>-55</v>
      </c>
      <c r="M676" s="7">
        <f t="shared" si="10"/>
        <v>71.02814815</v>
      </c>
      <c r="N676" s="7">
        <f t="shared" si="8"/>
        <v>-0.7743408977</v>
      </c>
      <c r="O676" s="2" t="str">
        <f t="shared" si="9"/>
        <v>Acceptable</v>
      </c>
    </row>
    <row r="677" ht="15.75" customHeight="1">
      <c r="A677" s="1" t="s">
        <v>85</v>
      </c>
      <c r="B677" s="1" t="s">
        <v>69</v>
      </c>
      <c r="C677" s="1" t="s">
        <v>20</v>
      </c>
      <c r="D677" s="1">
        <v>526.0</v>
      </c>
      <c r="E677" s="1">
        <v>459.0</v>
      </c>
      <c r="F677" s="1">
        <f t="shared" si="2"/>
        <v>-67</v>
      </c>
      <c r="G677" s="1">
        <f t="shared" si="3"/>
        <v>67</v>
      </c>
      <c r="H677" s="6">
        <f t="shared" si="4"/>
        <v>0.1273764259</v>
      </c>
      <c r="I677" s="6">
        <f t="shared" si="5"/>
        <v>0.8726235741</v>
      </c>
      <c r="J677" s="1">
        <f t="shared" si="6"/>
        <v>-67</v>
      </c>
      <c r="K677" s="1" t="str">
        <f t="shared" si="7"/>
        <v>Under Forecast</v>
      </c>
      <c r="L677" s="1">
        <f>F677+J676</f>
        <v>-122</v>
      </c>
      <c r="M677" s="7">
        <f t="shared" si="10"/>
        <v>71.02218935</v>
      </c>
      <c r="N677" s="7">
        <f t="shared" si="8"/>
        <v>-1.71777301</v>
      </c>
      <c r="O677" s="2" t="str">
        <f t="shared" si="9"/>
        <v>Acceptable</v>
      </c>
    </row>
    <row r="678" ht="15.75" customHeight="1">
      <c r="A678" s="1" t="s">
        <v>85</v>
      </c>
      <c r="B678" s="1" t="s">
        <v>69</v>
      </c>
      <c r="C678" s="1" t="s">
        <v>21</v>
      </c>
      <c r="D678" s="1">
        <v>636.0</v>
      </c>
      <c r="E678" s="1">
        <v>673.0</v>
      </c>
      <c r="F678" s="1">
        <f t="shared" si="2"/>
        <v>37</v>
      </c>
      <c r="G678" s="1">
        <f t="shared" si="3"/>
        <v>37</v>
      </c>
      <c r="H678" s="6">
        <f t="shared" si="4"/>
        <v>0.05817610063</v>
      </c>
      <c r="I678" s="6">
        <f t="shared" si="5"/>
        <v>0.9418238994</v>
      </c>
      <c r="J678" s="1">
        <f t="shared" si="6"/>
        <v>37</v>
      </c>
      <c r="K678" s="1" t="str">
        <f t="shared" si="7"/>
        <v>Over Forecast</v>
      </c>
      <c r="L678" s="1">
        <f>F678</f>
        <v>37</v>
      </c>
      <c r="M678" s="7">
        <f t="shared" si="10"/>
        <v>70.97193501</v>
      </c>
      <c r="N678" s="7">
        <f t="shared" si="8"/>
        <v>0.5213328338</v>
      </c>
      <c r="O678" s="2" t="str">
        <f t="shared" si="9"/>
        <v>Acceptable</v>
      </c>
    </row>
    <row r="679" ht="15.75" customHeight="1">
      <c r="A679" s="1" t="s">
        <v>85</v>
      </c>
      <c r="B679" s="1" t="s">
        <v>69</v>
      </c>
      <c r="C679" s="1" t="s">
        <v>22</v>
      </c>
      <c r="D679" s="1">
        <v>637.0</v>
      </c>
      <c r="E679" s="1">
        <v>531.0</v>
      </c>
      <c r="F679" s="1">
        <f t="shared" si="2"/>
        <v>-106</v>
      </c>
      <c r="G679" s="1">
        <f t="shared" si="3"/>
        <v>106</v>
      </c>
      <c r="H679" s="6">
        <f t="shared" si="4"/>
        <v>0.1664050235</v>
      </c>
      <c r="I679" s="6">
        <f t="shared" si="5"/>
        <v>0.8335949765</v>
      </c>
      <c r="J679" s="1">
        <f t="shared" si="6"/>
        <v>-106</v>
      </c>
      <c r="K679" s="1" t="str">
        <f t="shared" si="7"/>
        <v>Under Forecast</v>
      </c>
      <c r="L679" s="1">
        <f>F679+J678</f>
        <v>-69</v>
      </c>
      <c r="M679" s="7">
        <f t="shared" si="10"/>
        <v>71.02359882</v>
      </c>
      <c r="N679" s="7">
        <f t="shared" si="8"/>
        <v>-0.9715080782</v>
      </c>
      <c r="O679" s="2" t="str">
        <f t="shared" si="9"/>
        <v>Acceptable</v>
      </c>
    </row>
    <row r="680" ht="15.75" customHeight="1">
      <c r="A680" s="1" t="s">
        <v>85</v>
      </c>
      <c r="B680" s="1" t="s">
        <v>69</v>
      </c>
      <c r="C680" s="1" t="s">
        <v>23</v>
      </c>
      <c r="D680" s="1">
        <v>650.0</v>
      </c>
      <c r="E680" s="1">
        <v>699.0</v>
      </c>
      <c r="F680" s="1">
        <f t="shared" si="2"/>
        <v>49</v>
      </c>
      <c r="G680" s="1">
        <f t="shared" si="3"/>
        <v>49</v>
      </c>
      <c r="H680" s="6">
        <f t="shared" si="4"/>
        <v>0.07538461538</v>
      </c>
      <c r="I680" s="6">
        <f t="shared" si="5"/>
        <v>0.9246153846</v>
      </c>
      <c r="J680" s="1">
        <f t="shared" si="6"/>
        <v>49</v>
      </c>
      <c r="K680" s="1" t="str">
        <f t="shared" si="7"/>
        <v>Over Forecast</v>
      </c>
      <c r="L680" s="1">
        <f>F680</f>
        <v>49</v>
      </c>
      <c r="M680" s="7">
        <f t="shared" si="10"/>
        <v>70.99116348</v>
      </c>
      <c r="N680" s="7">
        <f t="shared" si="8"/>
        <v>0.6902267494</v>
      </c>
      <c r="O680" s="2" t="str">
        <f t="shared" si="9"/>
        <v>Acceptable</v>
      </c>
    </row>
    <row r="681" ht="15.75" customHeight="1">
      <c r="A681" s="1" t="s">
        <v>85</v>
      </c>
      <c r="B681" s="1" t="s">
        <v>69</v>
      </c>
      <c r="C681" s="1" t="s">
        <v>24</v>
      </c>
      <c r="D681" s="1">
        <v>601.0</v>
      </c>
      <c r="E681" s="1">
        <v>650.0</v>
      </c>
      <c r="F681" s="1">
        <f t="shared" si="2"/>
        <v>49</v>
      </c>
      <c r="G681" s="1">
        <f t="shared" si="3"/>
        <v>49</v>
      </c>
      <c r="H681" s="6">
        <f t="shared" si="4"/>
        <v>0.08153078203</v>
      </c>
      <c r="I681" s="6">
        <f t="shared" si="5"/>
        <v>0.918469218</v>
      </c>
      <c r="J681" s="1">
        <f t="shared" si="6"/>
        <v>49</v>
      </c>
      <c r="K681" s="1" t="str">
        <f t="shared" si="7"/>
        <v>Over Forecast</v>
      </c>
      <c r="L681" s="1">
        <f>F681+J680</f>
        <v>98</v>
      </c>
      <c r="M681" s="7">
        <f t="shared" si="10"/>
        <v>70.95882353</v>
      </c>
      <c r="N681" s="7">
        <f t="shared" si="8"/>
        <v>1.381082649</v>
      </c>
      <c r="O681" s="2" t="str">
        <f t="shared" si="9"/>
        <v>Acceptable</v>
      </c>
    </row>
    <row r="682" ht="15.75" customHeight="1">
      <c r="A682" s="1" t="s">
        <v>85</v>
      </c>
      <c r="B682" s="1" t="s">
        <v>69</v>
      </c>
      <c r="C682" s="1" t="s">
        <v>25</v>
      </c>
      <c r="D682" s="1">
        <v>591.0</v>
      </c>
      <c r="E682" s="1">
        <v>591.0</v>
      </c>
      <c r="F682" s="1">
        <f t="shared" si="2"/>
        <v>0</v>
      </c>
      <c r="G682" s="1">
        <f t="shared" si="3"/>
        <v>0</v>
      </c>
      <c r="H682" s="6">
        <f t="shared" si="4"/>
        <v>0</v>
      </c>
      <c r="I682" s="6">
        <f t="shared" si="5"/>
        <v>1</v>
      </c>
      <c r="J682" s="1">
        <f t="shared" si="6"/>
        <v>0</v>
      </c>
      <c r="K682" s="1" t="str">
        <f t="shared" si="7"/>
        <v>Accurate Forecast</v>
      </c>
      <c r="L682" s="1">
        <f>F682</f>
        <v>0</v>
      </c>
      <c r="M682" s="7">
        <f t="shared" si="10"/>
        <v>70.85462555</v>
      </c>
      <c r="N682" s="7">
        <f t="shared" si="8"/>
        <v>0</v>
      </c>
      <c r="O682" s="2" t="str">
        <f t="shared" si="9"/>
        <v>Acceptable</v>
      </c>
    </row>
    <row r="683" ht="15.75" customHeight="1">
      <c r="A683" s="1" t="s">
        <v>85</v>
      </c>
      <c r="B683" s="1" t="s">
        <v>69</v>
      </c>
      <c r="C683" s="1" t="s">
        <v>26</v>
      </c>
      <c r="D683" s="1">
        <v>550.0</v>
      </c>
      <c r="E683" s="1">
        <v>497.0</v>
      </c>
      <c r="F683" s="1">
        <f t="shared" si="2"/>
        <v>-53</v>
      </c>
      <c r="G683" s="1">
        <f t="shared" si="3"/>
        <v>53</v>
      </c>
      <c r="H683" s="6">
        <f t="shared" si="4"/>
        <v>0.09636363636</v>
      </c>
      <c r="I683" s="6">
        <f t="shared" si="5"/>
        <v>0.9036363636</v>
      </c>
      <c r="J683" s="1">
        <f t="shared" si="6"/>
        <v>-53</v>
      </c>
      <c r="K683" s="1" t="str">
        <f t="shared" si="7"/>
        <v>Under Forecast</v>
      </c>
      <c r="L683" s="1">
        <f>F683+J682</f>
        <v>-53</v>
      </c>
      <c r="M683" s="7">
        <f t="shared" si="10"/>
        <v>70.82844575</v>
      </c>
      <c r="N683" s="7">
        <f t="shared" si="8"/>
        <v>-0.7482869268</v>
      </c>
      <c r="O683" s="2" t="str">
        <f t="shared" si="9"/>
        <v>Acceptable</v>
      </c>
    </row>
    <row r="684" ht="15.75" customHeight="1">
      <c r="A684" s="1" t="s">
        <v>85</v>
      </c>
      <c r="B684" s="1" t="s">
        <v>69</v>
      </c>
      <c r="C684" s="1" t="s">
        <v>27</v>
      </c>
      <c r="D684" s="1">
        <v>493.0</v>
      </c>
      <c r="E684" s="1">
        <v>483.0</v>
      </c>
      <c r="F684" s="1">
        <f t="shared" si="2"/>
        <v>-10</v>
      </c>
      <c r="G684" s="1">
        <f t="shared" si="3"/>
        <v>10</v>
      </c>
      <c r="H684" s="6">
        <f t="shared" si="4"/>
        <v>0.02028397566</v>
      </c>
      <c r="I684" s="6">
        <f t="shared" si="5"/>
        <v>0.9797160243</v>
      </c>
      <c r="J684" s="1">
        <f t="shared" si="6"/>
        <v>-10</v>
      </c>
      <c r="K684" s="1" t="str">
        <f t="shared" si="7"/>
        <v>Under Forecast</v>
      </c>
      <c r="L684" s="1">
        <f>F684</f>
        <v>-10</v>
      </c>
      <c r="M684" s="7">
        <f t="shared" si="10"/>
        <v>70.73938507</v>
      </c>
      <c r="N684" s="7">
        <f t="shared" si="8"/>
        <v>-0.1413639656</v>
      </c>
      <c r="O684" s="2" t="str">
        <f t="shared" si="9"/>
        <v>Acceptable</v>
      </c>
    </row>
    <row r="685" ht="15.75" customHeight="1">
      <c r="A685" s="1" t="s">
        <v>85</v>
      </c>
      <c r="B685" s="1" t="s">
        <v>69</v>
      </c>
      <c r="C685" s="1" t="s">
        <v>28</v>
      </c>
      <c r="D685" s="1">
        <v>492.0</v>
      </c>
      <c r="E685" s="1">
        <v>521.0</v>
      </c>
      <c r="F685" s="1">
        <f t="shared" si="2"/>
        <v>29</v>
      </c>
      <c r="G685" s="1">
        <f t="shared" si="3"/>
        <v>29</v>
      </c>
      <c r="H685" s="6">
        <f t="shared" si="4"/>
        <v>0.05894308943</v>
      </c>
      <c r="I685" s="6">
        <f t="shared" si="5"/>
        <v>0.9410569106</v>
      </c>
      <c r="J685" s="1">
        <f t="shared" si="6"/>
        <v>29</v>
      </c>
      <c r="K685" s="1" t="str">
        <f t="shared" si="7"/>
        <v>Over Forecast</v>
      </c>
      <c r="L685" s="1">
        <f>F685+J684</f>
        <v>19</v>
      </c>
      <c r="M685" s="7">
        <f t="shared" si="10"/>
        <v>70.67836257</v>
      </c>
      <c r="N685" s="7">
        <f t="shared" si="8"/>
        <v>0.2688234321</v>
      </c>
      <c r="O685" s="2" t="str">
        <f t="shared" si="9"/>
        <v>Acceptable</v>
      </c>
    </row>
    <row r="686" ht="15.75" customHeight="1">
      <c r="A686" s="1" t="s">
        <v>86</v>
      </c>
      <c r="B686" s="1" t="s">
        <v>69</v>
      </c>
      <c r="C686" s="1" t="s">
        <v>17</v>
      </c>
      <c r="D686" s="1">
        <v>399.0</v>
      </c>
      <c r="E686" s="1">
        <v>395.0</v>
      </c>
      <c r="F686" s="1">
        <f t="shared" si="2"/>
        <v>-4</v>
      </c>
      <c r="G686" s="1">
        <f t="shared" si="3"/>
        <v>4</v>
      </c>
      <c r="H686" s="6">
        <f t="shared" si="4"/>
        <v>0.01002506266</v>
      </c>
      <c r="I686" s="6">
        <f t="shared" si="5"/>
        <v>0.9899749373</v>
      </c>
      <c r="J686" s="1">
        <f t="shared" si="6"/>
        <v>-4</v>
      </c>
      <c r="K686" s="1" t="str">
        <f t="shared" si="7"/>
        <v>Under Forecast</v>
      </c>
      <c r="L686" s="1">
        <f>F686</f>
        <v>-4</v>
      </c>
      <c r="M686" s="7">
        <f t="shared" si="10"/>
        <v>70.5810219</v>
      </c>
      <c r="N686" s="7">
        <f t="shared" si="8"/>
        <v>-0.05667245801</v>
      </c>
      <c r="O686" s="2" t="str">
        <f t="shared" si="9"/>
        <v>Acceptable</v>
      </c>
    </row>
    <row r="687" ht="15.75" customHeight="1">
      <c r="A687" s="1" t="s">
        <v>86</v>
      </c>
      <c r="B687" s="1" t="s">
        <v>69</v>
      </c>
      <c r="C687" s="1" t="s">
        <v>18</v>
      </c>
      <c r="D687" s="1">
        <v>418.0</v>
      </c>
      <c r="E687" s="1">
        <v>452.0</v>
      </c>
      <c r="F687" s="1">
        <f t="shared" si="2"/>
        <v>34</v>
      </c>
      <c r="G687" s="1">
        <f t="shared" si="3"/>
        <v>34</v>
      </c>
      <c r="H687" s="6">
        <f t="shared" si="4"/>
        <v>0.08133971292</v>
      </c>
      <c r="I687" s="6">
        <f t="shared" si="5"/>
        <v>0.9186602871</v>
      </c>
      <c r="J687" s="1">
        <f t="shared" si="6"/>
        <v>34</v>
      </c>
      <c r="K687" s="1" t="str">
        <f t="shared" si="7"/>
        <v>Over Forecast</v>
      </c>
      <c r="L687" s="1">
        <f>F687+J686</f>
        <v>30</v>
      </c>
      <c r="M687" s="7">
        <f t="shared" si="10"/>
        <v>70.52769679</v>
      </c>
      <c r="N687" s="7">
        <f t="shared" si="8"/>
        <v>0.4253648051</v>
      </c>
      <c r="O687" s="2" t="str">
        <f t="shared" si="9"/>
        <v>Acceptable</v>
      </c>
    </row>
    <row r="688" ht="15.75" customHeight="1">
      <c r="A688" s="1" t="s">
        <v>86</v>
      </c>
      <c r="B688" s="1" t="s">
        <v>69</v>
      </c>
      <c r="C688" s="1" t="s">
        <v>19</v>
      </c>
      <c r="D688" s="1">
        <v>417.0</v>
      </c>
      <c r="E688" s="1">
        <v>382.0</v>
      </c>
      <c r="F688" s="1">
        <f t="shared" si="2"/>
        <v>-35</v>
      </c>
      <c r="G688" s="1">
        <f t="shared" si="3"/>
        <v>35</v>
      </c>
      <c r="H688" s="6">
        <f t="shared" si="4"/>
        <v>0.08393285372</v>
      </c>
      <c r="I688" s="6">
        <f t="shared" si="5"/>
        <v>0.9160671463</v>
      </c>
      <c r="J688" s="1">
        <f t="shared" si="6"/>
        <v>-35</v>
      </c>
      <c r="K688" s="1" t="str">
        <f t="shared" si="7"/>
        <v>Under Forecast</v>
      </c>
      <c r="L688" s="1">
        <f>F688</f>
        <v>-35</v>
      </c>
      <c r="M688" s="7">
        <f t="shared" si="10"/>
        <v>70.47598253</v>
      </c>
      <c r="N688" s="7">
        <f t="shared" si="8"/>
        <v>-0.4966230869</v>
      </c>
      <c r="O688" s="2" t="str">
        <f t="shared" si="9"/>
        <v>Acceptable</v>
      </c>
    </row>
    <row r="689" ht="15.75" customHeight="1">
      <c r="A689" s="1" t="s">
        <v>86</v>
      </c>
      <c r="B689" s="1" t="s">
        <v>69</v>
      </c>
      <c r="C689" s="1" t="s">
        <v>20</v>
      </c>
      <c r="D689" s="1">
        <v>464.0</v>
      </c>
      <c r="E689" s="1">
        <v>492.0</v>
      </c>
      <c r="F689" s="1">
        <f t="shared" si="2"/>
        <v>28</v>
      </c>
      <c r="G689" s="1">
        <f t="shared" si="3"/>
        <v>28</v>
      </c>
      <c r="H689" s="6">
        <f t="shared" si="4"/>
        <v>0.06034482759</v>
      </c>
      <c r="I689" s="6">
        <f t="shared" si="5"/>
        <v>0.9396551724</v>
      </c>
      <c r="J689" s="1">
        <f t="shared" si="6"/>
        <v>28</v>
      </c>
      <c r="K689" s="1" t="str">
        <f t="shared" si="7"/>
        <v>Over Forecast</v>
      </c>
      <c r="L689" s="1">
        <f>F689+J688</f>
        <v>-7</v>
      </c>
      <c r="M689" s="7">
        <f t="shared" si="10"/>
        <v>70.41424419</v>
      </c>
      <c r="N689" s="7">
        <f t="shared" si="8"/>
        <v>-0.09941170399</v>
      </c>
      <c r="O689" s="2" t="str">
        <f t="shared" si="9"/>
        <v>Acceptable</v>
      </c>
    </row>
    <row r="690" ht="15.75" customHeight="1">
      <c r="A690" s="1" t="s">
        <v>86</v>
      </c>
      <c r="B690" s="1" t="s">
        <v>69</v>
      </c>
      <c r="C690" s="1" t="s">
        <v>21</v>
      </c>
      <c r="D690" s="1">
        <v>498.0</v>
      </c>
      <c r="E690" s="1">
        <v>527.0</v>
      </c>
      <c r="F690" s="1">
        <f t="shared" si="2"/>
        <v>29</v>
      </c>
      <c r="G690" s="1">
        <f t="shared" si="3"/>
        <v>29</v>
      </c>
      <c r="H690" s="6">
        <f t="shared" si="4"/>
        <v>0.05823293173</v>
      </c>
      <c r="I690" s="6">
        <f t="shared" si="5"/>
        <v>0.9417670683</v>
      </c>
      <c r="J690" s="1">
        <f t="shared" si="6"/>
        <v>29</v>
      </c>
      <c r="K690" s="1" t="str">
        <f t="shared" si="7"/>
        <v>Over Forecast</v>
      </c>
      <c r="L690" s="1">
        <f>F690</f>
        <v>29</v>
      </c>
      <c r="M690" s="7">
        <f t="shared" si="10"/>
        <v>70.35413643</v>
      </c>
      <c r="N690" s="7">
        <f t="shared" si="8"/>
        <v>0.4122003548</v>
      </c>
      <c r="O690" s="2" t="str">
        <f t="shared" si="9"/>
        <v>Acceptable</v>
      </c>
    </row>
    <row r="691" ht="15.75" customHeight="1">
      <c r="A691" s="1" t="s">
        <v>86</v>
      </c>
      <c r="B691" s="1" t="s">
        <v>69</v>
      </c>
      <c r="C691" s="1" t="s">
        <v>22</v>
      </c>
      <c r="D691" s="1">
        <v>488.0</v>
      </c>
      <c r="E691" s="1">
        <v>519.0</v>
      </c>
      <c r="F691" s="1">
        <f t="shared" si="2"/>
        <v>31</v>
      </c>
      <c r="G691" s="1">
        <f t="shared" si="3"/>
        <v>31</v>
      </c>
      <c r="H691" s="6">
        <f t="shared" si="4"/>
        <v>0.06352459016</v>
      </c>
      <c r="I691" s="6">
        <f t="shared" si="5"/>
        <v>0.9364754098</v>
      </c>
      <c r="J691" s="1">
        <f t="shared" si="6"/>
        <v>31</v>
      </c>
      <c r="K691" s="1" t="str">
        <f t="shared" si="7"/>
        <v>Over Forecast</v>
      </c>
      <c r="L691" s="1">
        <f>F691+J690</f>
        <v>60</v>
      </c>
      <c r="M691" s="7">
        <f t="shared" si="10"/>
        <v>70.29710145</v>
      </c>
      <c r="N691" s="7">
        <f t="shared" si="8"/>
        <v>0.8535202556</v>
      </c>
      <c r="O691" s="2" t="str">
        <f t="shared" si="9"/>
        <v>Acceptable</v>
      </c>
    </row>
    <row r="692" ht="15.75" customHeight="1">
      <c r="A692" s="1" t="s">
        <v>86</v>
      </c>
      <c r="B692" s="1" t="s">
        <v>69</v>
      </c>
      <c r="C692" s="1" t="s">
        <v>23</v>
      </c>
      <c r="D692" s="1">
        <v>476.0</v>
      </c>
      <c r="E692" s="1">
        <v>468.0</v>
      </c>
      <c r="F692" s="1">
        <f t="shared" si="2"/>
        <v>-8</v>
      </c>
      <c r="G692" s="1">
        <f t="shared" si="3"/>
        <v>8</v>
      </c>
      <c r="H692" s="6">
        <f t="shared" si="4"/>
        <v>0.01680672269</v>
      </c>
      <c r="I692" s="6">
        <f t="shared" si="5"/>
        <v>0.9831932773</v>
      </c>
      <c r="J692" s="1">
        <f t="shared" si="6"/>
        <v>-8</v>
      </c>
      <c r="K692" s="1" t="str">
        <f t="shared" si="7"/>
        <v>Under Forecast</v>
      </c>
      <c r="L692" s="1">
        <f>F692</f>
        <v>-8</v>
      </c>
      <c r="M692" s="7">
        <f t="shared" si="10"/>
        <v>70.20694645</v>
      </c>
      <c r="N692" s="7">
        <f t="shared" si="8"/>
        <v>-0.1139488385</v>
      </c>
      <c r="O692" s="2" t="str">
        <f t="shared" si="9"/>
        <v>Acceptable</v>
      </c>
    </row>
    <row r="693" ht="15.75" customHeight="1">
      <c r="A693" s="1" t="s">
        <v>86</v>
      </c>
      <c r="B693" s="1" t="s">
        <v>69</v>
      </c>
      <c r="C693" s="1" t="s">
        <v>24</v>
      </c>
      <c r="D693" s="1">
        <v>459.0</v>
      </c>
      <c r="E693" s="1">
        <v>421.0</v>
      </c>
      <c r="F693" s="1">
        <f t="shared" si="2"/>
        <v>-38</v>
      </c>
      <c r="G693" s="1">
        <f t="shared" si="3"/>
        <v>38</v>
      </c>
      <c r="H693" s="6">
        <f t="shared" si="4"/>
        <v>0.08278867102</v>
      </c>
      <c r="I693" s="6">
        <f t="shared" si="5"/>
        <v>0.917211329</v>
      </c>
      <c r="J693" s="1">
        <f t="shared" si="6"/>
        <v>-38</v>
      </c>
      <c r="K693" s="1" t="str">
        <f t="shared" si="7"/>
        <v>Under Forecast</v>
      </c>
      <c r="L693" s="1">
        <f>F693+J692</f>
        <v>-46</v>
      </c>
      <c r="M693" s="7">
        <f t="shared" si="10"/>
        <v>70.16040462</v>
      </c>
      <c r="N693" s="7">
        <f t="shared" si="8"/>
        <v>-0.6556404605</v>
      </c>
      <c r="O693" s="2" t="str">
        <f t="shared" si="9"/>
        <v>Acceptable</v>
      </c>
    </row>
    <row r="694" ht="15.75" customHeight="1">
      <c r="A694" s="1" t="s">
        <v>86</v>
      </c>
      <c r="B694" s="1" t="s">
        <v>69</v>
      </c>
      <c r="C694" s="1" t="s">
        <v>25</v>
      </c>
      <c r="D694" s="1">
        <v>480.0</v>
      </c>
      <c r="E694" s="1">
        <v>450.0</v>
      </c>
      <c r="F694" s="1">
        <f t="shared" si="2"/>
        <v>-30</v>
      </c>
      <c r="G694" s="1">
        <f t="shared" si="3"/>
        <v>30</v>
      </c>
      <c r="H694" s="6">
        <f t="shared" si="4"/>
        <v>0.0625</v>
      </c>
      <c r="I694" s="6">
        <f t="shared" si="5"/>
        <v>0.9375</v>
      </c>
      <c r="J694" s="1">
        <f t="shared" si="6"/>
        <v>-30</v>
      </c>
      <c r="K694" s="1" t="str">
        <f t="shared" si="7"/>
        <v>Under Forecast</v>
      </c>
      <c r="L694" s="1">
        <f>F694</f>
        <v>-30</v>
      </c>
      <c r="M694" s="7">
        <f t="shared" si="10"/>
        <v>70.1024531</v>
      </c>
      <c r="N694" s="7">
        <f t="shared" si="8"/>
        <v>-0.4279450814</v>
      </c>
      <c r="O694" s="2" t="str">
        <f t="shared" si="9"/>
        <v>Acceptable</v>
      </c>
    </row>
    <row r="695" ht="15.75" customHeight="1">
      <c r="A695" s="1" t="s">
        <v>86</v>
      </c>
      <c r="B695" s="1" t="s">
        <v>69</v>
      </c>
      <c r="C695" s="1" t="s">
        <v>26</v>
      </c>
      <c r="D695" s="1">
        <v>515.0</v>
      </c>
      <c r="E695" s="1">
        <v>482.0</v>
      </c>
      <c r="F695" s="1">
        <f t="shared" si="2"/>
        <v>-33</v>
      </c>
      <c r="G695" s="1">
        <f t="shared" si="3"/>
        <v>33</v>
      </c>
      <c r="H695" s="6">
        <f t="shared" si="4"/>
        <v>0.0640776699</v>
      </c>
      <c r="I695" s="6">
        <f t="shared" si="5"/>
        <v>0.9359223301</v>
      </c>
      <c r="J695" s="1">
        <f t="shared" si="6"/>
        <v>-33</v>
      </c>
      <c r="K695" s="1" t="str">
        <f t="shared" si="7"/>
        <v>Under Forecast</v>
      </c>
      <c r="L695" s="1">
        <f>F695+J694</f>
        <v>-63</v>
      </c>
      <c r="M695" s="7">
        <f t="shared" si="10"/>
        <v>70.04899135</v>
      </c>
      <c r="N695" s="7">
        <f t="shared" si="8"/>
        <v>-0.8993705517</v>
      </c>
      <c r="O695" s="2" t="str">
        <f t="shared" si="9"/>
        <v>Acceptable</v>
      </c>
    </row>
    <row r="696" ht="15.75" customHeight="1">
      <c r="A696" s="1" t="s">
        <v>86</v>
      </c>
      <c r="B696" s="1" t="s">
        <v>69</v>
      </c>
      <c r="C696" s="1" t="s">
        <v>27</v>
      </c>
      <c r="D696" s="1">
        <v>492.0</v>
      </c>
      <c r="E696" s="1">
        <v>438.0</v>
      </c>
      <c r="F696" s="1">
        <f t="shared" si="2"/>
        <v>-54</v>
      </c>
      <c r="G696" s="1">
        <f t="shared" si="3"/>
        <v>54</v>
      </c>
      <c r="H696" s="6">
        <f t="shared" si="4"/>
        <v>0.1097560976</v>
      </c>
      <c r="I696" s="6">
        <f t="shared" si="5"/>
        <v>0.8902439024</v>
      </c>
      <c r="J696" s="1">
        <f t="shared" si="6"/>
        <v>-54</v>
      </c>
      <c r="K696" s="1" t="str">
        <f t="shared" si="7"/>
        <v>Under Forecast</v>
      </c>
      <c r="L696" s="1">
        <f>F696</f>
        <v>-54</v>
      </c>
      <c r="M696" s="7">
        <f t="shared" si="10"/>
        <v>70.02589928</v>
      </c>
      <c r="N696" s="7">
        <f t="shared" si="8"/>
        <v>-0.7711432563</v>
      </c>
      <c r="O696" s="2" t="str">
        <f t="shared" si="9"/>
        <v>Acceptable</v>
      </c>
    </row>
    <row r="697" ht="15.75" customHeight="1">
      <c r="A697" s="1" t="s">
        <v>86</v>
      </c>
      <c r="B697" s="1" t="s">
        <v>69</v>
      </c>
      <c r="C697" s="1" t="s">
        <v>28</v>
      </c>
      <c r="D697" s="1">
        <v>482.0</v>
      </c>
      <c r="E697" s="1">
        <v>428.0</v>
      </c>
      <c r="F697" s="1">
        <f t="shared" si="2"/>
        <v>-54</v>
      </c>
      <c r="G697" s="1">
        <f t="shared" si="3"/>
        <v>54</v>
      </c>
      <c r="H697" s="6">
        <f t="shared" si="4"/>
        <v>0.112033195</v>
      </c>
      <c r="I697" s="6">
        <f t="shared" si="5"/>
        <v>0.887966805</v>
      </c>
      <c r="J697" s="1">
        <f t="shared" si="6"/>
        <v>-54</v>
      </c>
      <c r="K697" s="1" t="str">
        <f t="shared" si="7"/>
        <v>Under Forecast</v>
      </c>
      <c r="L697" s="1">
        <f>F697+J696</f>
        <v>-108</v>
      </c>
      <c r="M697" s="7">
        <f t="shared" si="10"/>
        <v>70.00287356</v>
      </c>
      <c r="N697" s="7">
        <f t="shared" si="8"/>
        <v>-1.54279381</v>
      </c>
      <c r="O697" s="2" t="str">
        <f t="shared" si="9"/>
        <v>Acceptable</v>
      </c>
    </row>
    <row r="698" ht="15.75" customHeight="1">
      <c r="A698" s="1" t="s">
        <v>87</v>
      </c>
      <c r="B698" s="1" t="s">
        <v>69</v>
      </c>
      <c r="C698" s="1" t="s">
        <v>17</v>
      </c>
      <c r="D698" s="1">
        <v>694.0</v>
      </c>
      <c r="E698" s="1">
        <v>723.0</v>
      </c>
      <c r="F698" s="1">
        <f t="shared" si="2"/>
        <v>29</v>
      </c>
      <c r="G698" s="1">
        <f t="shared" si="3"/>
        <v>29</v>
      </c>
      <c r="H698" s="6">
        <f t="shared" si="4"/>
        <v>0.04178674352</v>
      </c>
      <c r="I698" s="6">
        <f t="shared" si="5"/>
        <v>0.9582132565</v>
      </c>
      <c r="J698" s="1">
        <f t="shared" si="6"/>
        <v>29</v>
      </c>
      <c r="K698" s="1" t="str">
        <f t="shared" si="7"/>
        <v>Over Forecast</v>
      </c>
      <c r="L698" s="1">
        <f>F698</f>
        <v>29</v>
      </c>
      <c r="M698" s="7">
        <f t="shared" si="10"/>
        <v>69.94404591</v>
      </c>
      <c r="N698" s="7">
        <f t="shared" si="8"/>
        <v>0.4146171361</v>
      </c>
      <c r="O698" s="2" t="str">
        <f t="shared" si="9"/>
        <v>Acceptable</v>
      </c>
    </row>
    <row r="699" ht="15.75" customHeight="1">
      <c r="A699" s="1" t="s">
        <v>87</v>
      </c>
      <c r="B699" s="1" t="s">
        <v>69</v>
      </c>
      <c r="C699" s="1" t="s">
        <v>18</v>
      </c>
      <c r="D699" s="1">
        <v>818.0</v>
      </c>
      <c r="E699" s="1">
        <v>818.0</v>
      </c>
      <c r="F699" s="1">
        <f t="shared" si="2"/>
        <v>0</v>
      </c>
      <c r="G699" s="1">
        <f t="shared" si="3"/>
        <v>0</v>
      </c>
      <c r="H699" s="6">
        <f t="shared" si="4"/>
        <v>0</v>
      </c>
      <c r="I699" s="6">
        <f t="shared" si="5"/>
        <v>1</v>
      </c>
      <c r="J699" s="1">
        <f t="shared" si="6"/>
        <v>0</v>
      </c>
      <c r="K699" s="1" t="str">
        <f t="shared" si="7"/>
        <v>Accurate Forecast</v>
      </c>
      <c r="L699" s="1">
        <f>F699+J698</f>
        <v>29</v>
      </c>
      <c r="M699" s="7">
        <f t="shared" si="10"/>
        <v>69.84383954</v>
      </c>
      <c r="N699" s="7">
        <f t="shared" si="8"/>
        <v>0.4152119957</v>
      </c>
      <c r="O699" s="2" t="str">
        <f t="shared" si="9"/>
        <v>Acceptable</v>
      </c>
    </row>
    <row r="700" ht="15.75" customHeight="1">
      <c r="A700" s="1" t="s">
        <v>87</v>
      </c>
      <c r="B700" s="1" t="s">
        <v>69</v>
      </c>
      <c r="C700" s="1" t="s">
        <v>19</v>
      </c>
      <c r="D700" s="1">
        <v>827.0</v>
      </c>
      <c r="E700" s="1">
        <v>939.0</v>
      </c>
      <c r="F700" s="1">
        <f t="shared" si="2"/>
        <v>112</v>
      </c>
      <c r="G700" s="1">
        <f t="shared" si="3"/>
        <v>112</v>
      </c>
      <c r="H700" s="6">
        <f t="shared" si="4"/>
        <v>0.1354292624</v>
      </c>
      <c r="I700" s="6">
        <f t="shared" si="5"/>
        <v>0.8645707376</v>
      </c>
      <c r="J700" s="1">
        <f t="shared" si="6"/>
        <v>112</v>
      </c>
      <c r="K700" s="1" t="str">
        <f t="shared" si="7"/>
        <v>Over Forecast</v>
      </c>
      <c r="L700" s="1">
        <f>F700</f>
        <v>112</v>
      </c>
      <c r="M700" s="7">
        <f t="shared" si="10"/>
        <v>69.90414878</v>
      </c>
      <c r="N700" s="7">
        <f t="shared" si="8"/>
        <v>1.602193889</v>
      </c>
      <c r="O700" s="2" t="str">
        <f t="shared" si="9"/>
        <v>Acceptable</v>
      </c>
    </row>
    <row r="701" ht="15.75" customHeight="1">
      <c r="A701" s="1" t="s">
        <v>87</v>
      </c>
      <c r="B701" s="1" t="s">
        <v>69</v>
      </c>
      <c r="C701" s="1" t="s">
        <v>20</v>
      </c>
      <c r="D701" s="1">
        <v>915.0</v>
      </c>
      <c r="E701" s="1">
        <v>1028.0</v>
      </c>
      <c r="F701" s="1">
        <f t="shared" si="2"/>
        <v>113</v>
      </c>
      <c r="G701" s="1">
        <f t="shared" si="3"/>
        <v>113</v>
      </c>
      <c r="H701" s="6">
        <f t="shared" si="4"/>
        <v>0.1234972678</v>
      </c>
      <c r="I701" s="6">
        <f t="shared" si="5"/>
        <v>0.8765027322</v>
      </c>
      <c r="J701" s="1">
        <f t="shared" si="6"/>
        <v>113</v>
      </c>
      <c r="K701" s="1" t="str">
        <f t="shared" si="7"/>
        <v>Over Forecast</v>
      </c>
      <c r="L701" s="1">
        <f>F701+J700</f>
        <v>225</v>
      </c>
      <c r="M701" s="7">
        <f t="shared" si="10"/>
        <v>69.96571429</v>
      </c>
      <c r="N701" s="7">
        <f t="shared" si="8"/>
        <v>3.21586083</v>
      </c>
      <c r="O701" s="2" t="str">
        <f t="shared" si="9"/>
        <v>Acceptable</v>
      </c>
    </row>
    <row r="702" ht="15.75" customHeight="1">
      <c r="A702" s="1" t="s">
        <v>87</v>
      </c>
      <c r="B702" s="1" t="s">
        <v>69</v>
      </c>
      <c r="C702" s="1" t="s">
        <v>21</v>
      </c>
      <c r="D702" s="1">
        <v>948.0</v>
      </c>
      <c r="E702" s="1">
        <v>836.0</v>
      </c>
      <c r="F702" s="1">
        <f t="shared" si="2"/>
        <v>-112</v>
      </c>
      <c r="G702" s="1">
        <f t="shared" si="3"/>
        <v>112</v>
      </c>
      <c r="H702" s="6">
        <f t="shared" si="4"/>
        <v>0.1181434599</v>
      </c>
      <c r="I702" s="6">
        <f t="shared" si="5"/>
        <v>0.8818565401</v>
      </c>
      <c r="J702" s="1">
        <f t="shared" si="6"/>
        <v>-112</v>
      </c>
      <c r="K702" s="1" t="str">
        <f t="shared" si="7"/>
        <v>Under Forecast</v>
      </c>
      <c r="L702" s="1">
        <f>F702</f>
        <v>-112</v>
      </c>
      <c r="M702" s="7">
        <f t="shared" si="10"/>
        <v>70.0256776</v>
      </c>
      <c r="N702" s="7">
        <f t="shared" si="8"/>
        <v>-1.599413299</v>
      </c>
      <c r="O702" s="2" t="str">
        <f t="shared" si="9"/>
        <v>Acceptable</v>
      </c>
    </row>
    <row r="703" ht="15.75" customHeight="1">
      <c r="A703" s="1" t="s">
        <v>87</v>
      </c>
      <c r="B703" s="1" t="s">
        <v>69</v>
      </c>
      <c r="C703" s="1" t="s">
        <v>22</v>
      </c>
      <c r="D703" s="1">
        <v>856.0</v>
      </c>
      <c r="E703" s="1">
        <v>862.0</v>
      </c>
      <c r="F703" s="1">
        <f t="shared" si="2"/>
        <v>6</v>
      </c>
      <c r="G703" s="1">
        <f t="shared" si="3"/>
        <v>6</v>
      </c>
      <c r="H703" s="6">
        <f t="shared" si="4"/>
        <v>0.007009345794</v>
      </c>
      <c r="I703" s="6">
        <f t="shared" si="5"/>
        <v>0.9929906542</v>
      </c>
      <c r="J703" s="1">
        <f t="shared" si="6"/>
        <v>6</v>
      </c>
      <c r="K703" s="1" t="str">
        <f t="shared" si="7"/>
        <v>Over Forecast</v>
      </c>
      <c r="L703" s="1">
        <f>F703+J702</f>
        <v>-106</v>
      </c>
      <c r="M703" s="7">
        <f t="shared" si="10"/>
        <v>69.93447293</v>
      </c>
      <c r="N703" s="7">
        <f t="shared" si="8"/>
        <v>-1.515704567</v>
      </c>
      <c r="O703" s="2" t="str">
        <f t="shared" si="9"/>
        <v>Acceptable</v>
      </c>
    </row>
    <row r="704" ht="15.75" customHeight="1">
      <c r="A704" s="1" t="s">
        <v>87</v>
      </c>
      <c r="B704" s="1" t="s">
        <v>69</v>
      </c>
      <c r="C704" s="1" t="s">
        <v>23</v>
      </c>
      <c r="D704" s="1">
        <v>902.0</v>
      </c>
      <c r="E704" s="1">
        <v>895.0</v>
      </c>
      <c r="F704" s="1">
        <f t="shared" si="2"/>
        <v>-7</v>
      </c>
      <c r="G704" s="1">
        <f t="shared" si="3"/>
        <v>7</v>
      </c>
      <c r="H704" s="6">
        <f t="shared" si="4"/>
        <v>0.007760532151</v>
      </c>
      <c r="I704" s="6">
        <f t="shared" si="5"/>
        <v>0.9922394678</v>
      </c>
      <c r="J704" s="1">
        <f t="shared" si="6"/>
        <v>-7</v>
      </c>
      <c r="K704" s="1" t="str">
        <f t="shared" si="7"/>
        <v>Under Forecast</v>
      </c>
      <c r="L704" s="1">
        <f>F704</f>
        <v>-7</v>
      </c>
      <c r="M704" s="7">
        <f t="shared" si="10"/>
        <v>69.84495021</v>
      </c>
      <c r="N704" s="7">
        <f t="shared" si="8"/>
        <v>-0.1002219914</v>
      </c>
      <c r="O704" s="2" t="str">
        <f t="shared" si="9"/>
        <v>Acceptable</v>
      </c>
    </row>
    <row r="705" ht="15.75" customHeight="1">
      <c r="A705" s="1" t="s">
        <v>87</v>
      </c>
      <c r="B705" s="1" t="s">
        <v>69</v>
      </c>
      <c r="C705" s="1" t="s">
        <v>24</v>
      </c>
      <c r="D705" s="1">
        <v>909.0</v>
      </c>
      <c r="E705" s="1">
        <v>922.0</v>
      </c>
      <c r="F705" s="1">
        <f t="shared" si="2"/>
        <v>13</v>
      </c>
      <c r="G705" s="1">
        <f t="shared" si="3"/>
        <v>13</v>
      </c>
      <c r="H705" s="6">
        <f t="shared" si="4"/>
        <v>0.01430143014</v>
      </c>
      <c r="I705" s="6">
        <f t="shared" si="5"/>
        <v>0.9856985699</v>
      </c>
      <c r="J705" s="1">
        <f t="shared" si="6"/>
        <v>13</v>
      </c>
      <c r="K705" s="1" t="str">
        <f t="shared" si="7"/>
        <v>Over Forecast</v>
      </c>
      <c r="L705" s="1">
        <f>F705+J704</f>
        <v>6</v>
      </c>
      <c r="M705" s="7">
        <f t="shared" si="10"/>
        <v>69.76420455</v>
      </c>
      <c r="N705" s="7">
        <f t="shared" si="8"/>
        <v>0.08600399072</v>
      </c>
      <c r="O705" s="2" t="str">
        <f t="shared" si="9"/>
        <v>Acceptable</v>
      </c>
    </row>
    <row r="706" ht="15.75" customHeight="1">
      <c r="A706" s="1" t="s">
        <v>87</v>
      </c>
      <c r="B706" s="1" t="s">
        <v>69</v>
      </c>
      <c r="C706" s="1" t="s">
        <v>25</v>
      </c>
      <c r="D706" s="1">
        <v>933.0</v>
      </c>
      <c r="E706" s="1">
        <v>993.0</v>
      </c>
      <c r="F706" s="1">
        <f t="shared" si="2"/>
        <v>60</v>
      </c>
      <c r="G706" s="1">
        <f t="shared" si="3"/>
        <v>60</v>
      </c>
      <c r="H706" s="6">
        <f t="shared" si="4"/>
        <v>0.06430868167</v>
      </c>
      <c r="I706" s="6">
        <f t="shared" si="5"/>
        <v>0.9356913183</v>
      </c>
      <c r="J706" s="1">
        <f t="shared" si="6"/>
        <v>60</v>
      </c>
      <c r="K706" s="1" t="str">
        <f t="shared" si="7"/>
        <v>Over Forecast</v>
      </c>
      <c r="L706" s="1">
        <f>F706</f>
        <v>60</v>
      </c>
      <c r="M706" s="7">
        <f t="shared" si="10"/>
        <v>69.75035461</v>
      </c>
      <c r="N706" s="7">
        <f t="shared" si="8"/>
        <v>0.8602106804</v>
      </c>
      <c r="O706" s="2" t="str">
        <f t="shared" si="9"/>
        <v>Acceptable</v>
      </c>
    </row>
    <row r="707" ht="15.75" customHeight="1">
      <c r="A707" s="1" t="s">
        <v>87</v>
      </c>
      <c r="B707" s="1" t="s">
        <v>69</v>
      </c>
      <c r="C707" s="1" t="s">
        <v>26</v>
      </c>
      <c r="D707" s="1">
        <v>887.0</v>
      </c>
      <c r="E707" s="1">
        <v>972.0</v>
      </c>
      <c r="F707" s="1">
        <f t="shared" si="2"/>
        <v>85</v>
      </c>
      <c r="G707" s="1">
        <f t="shared" si="3"/>
        <v>85</v>
      </c>
      <c r="H707" s="6">
        <f t="shared" si="4"/>
        <v>0.09582863585</v>
      </c>
      <c r="I707" s="6">
        <f t="shared" si="5"/>
        <v>0.9041713641</v>
      </c>
      <c r="J707" s="1">
        <f t="shared" si="6"/>
        <v>85</v>
      </c>
      <c r="K707" s="1" t="str">
        <f t="shared" si="7"/>
        <v>Over Forecast</v>
      </c>
      <c r="L707" s="1">
        <f>F707+J706</f>
        <v>145</v>
      </c>
      <c r="M707" s="7">
        <f t="shared" si="10"/>
        <v>69.77195467</v>
      </c>
      <c r="N707" s="7">
        <f t="shared" si="8"/>
        <v>2.078198908</v>
      </c>
      <c r="O707" s="2" t="str">
        <f t="shared" si="9"/>
        <v>Acceptable</v>
      </c>
    </row>
    <row r="708" ht="15.75" customHeight="1">
      <c r="A708" s="1" t="s">
        <v>87</v>
      </c>
      <c r="B708" s="1" t="s">
        <v>69</v>
      </c>
      <c r="C708" s="1" t="s">
        <v>27</v>
      </c>
      <c r="D708" s="1">
        <v>865.0</v>
      </c>
      <c r="E708" s="1">
        <v>967.0</v>
      </c>
      <c r="F708" s="1">
        <f t="shared" si="2"/>
        <v>102</v>
      </c>
      <c r="G708" s="1">
        <f t="shared" si="3"/>
        <v>102</v>
      </c>
      <c r="H708" s="6">
        <f t="shared" si="4"/>
        <v>0.1179190751</v>
      </c>
      <c r="I708" s="6">
        <f t="shared" si="5"/>
        <v>0.8820809249</v>
      </c>
      <c r="J708" s="1">
        <f t="shared" si="6"/>
        <v>102</v>
      </c>
      <c r="K708" s="1" t="str">
        <f t="shared" si="7"/>
        <v>Over Forecast</v>
      </c>
      <c r="L708" s="1">
        <f>F708</f>
        <v>102</v>
      </c>
      <c r="M708" s="7">
        <f t="shared" si="10"/>
        <v>69.8175389</v>
      </c>
      <c r="N708" s="7">
        <f t="shared" si="8"/>
        <v>1.460950953</v>
      </c>
      <c r="O708" s="2" t="str">
        <f t="shared" si="9"/>
        <v>Acceptable</v>
      </c>
    </row>
    <row r="709" ht="15.75" customHeight="1">
      <c r="A709" s="1" t="s">
        <v>87</v>
      </c>
      <c r="B709" s="1" t="s">
        <v>69</v>
      </c>
      <c r="C709" s="1" t="s">
        <v>28</v>
      </c>
      <c r="D709" s="1">
        <v>788.0</v>
      </c>
      <c r="E709" s="1">
        <v>895.0</v>
      </c>
      <c r="F709" s="1">
        <f t="shared" si="2"/>
        <v>107</v>
      </c>
      <c r="G709" s="1">
        <f t="shared" si="3"/>
        <v>107</v>
      </c>
      <c r="H709" s="6">
        <f t="shared" si="4"/>
        <v>0.135786802</v>
      </c>
      <c r="I709" s="6">
        <f t="shared" si="5"/>
        <v>0.864213198</v>
      </c>
      <c r="J709" s="1">
        <f t="shared" si="6"/>
        <v>107</v>
      </c>
      <c r="K709" s="1" t="str">
        <f t="shared" si="7"/>
        <v>Over Forecast</v>
      </c>
      <c r="L709" s="1">
        <f>F709+J708</f>
        <v>209</v>
      </c>
      <c r="M709" s="7">
        <f t="shared" si="10"/>
        <v>69.8700565</v>
      </c>
      <c r="N709" s="7">
        <f t="shared" si="8"/>
        <v>2.991267082</v>
      </c>
      <c r="O709" s="2" t="str">
        <f t="shared" si="9"/>
        <v>Acceptable</v>
      </c>
    </row>
    <row r="710" ht="15.75" customHeight="1">
      <c r="A710" s="1" t="s">
        <v>88</v>
      </c>
      <c r="B710" s="1" t="s">
        <v>69</v>
      </c>
      <c r="C710" s="1" t="s">
        <v>17</v>
      </c>
      <c r="D710" s="1">
        <v>525.0</v>
      </c>
      <c r="E710" s="1">
        <v>567.0</v>
      </c>
      <c r="F710" s="1">
        <f t="shared" si="2"/>
        <v>42</v>
      </c>
      <c r="G710" s="1">
        <f t="shared" si="3"/>
        <v>42</v>
      </c>
      <c r="H710" s="6">
        <f t="shared" si="4"/>
        <v>0.08</v>
      </c>
      <c r="I710" s="6">
        <f t="shared" si="5"/>
        <v>0.92</v>
      </c>
      <c r="J710" s="1">
        <f t="shared" si="6"/>
        <v>42</v>
      </c>
      <c r="K710" s="1" t="str">
        <f t="shared" si="7"/>
        <v>Over Forecast</v>
      </c>
      <c r="L710" s="1">
        <f>F710</f>
        <v>42</v>
      </c>
      <c r="M710" s="7">
        <f t="shared" si="10"/>
        <v>69.83074753</v>
      </c>
      <c r="N710" s="7">
        <f t="shared" si="8"/>
        <v>0.6014542517</v>
      </c>
      <c r="O710" s="2" t="str">
        <f t="shared" si="9"/>
        <v>Acceptable</v>
      </c>
    </row>
    <row r="711" ht="15.75" customHeight="1">
      <c r="A711" s="1" t="s">
        <v>88</v>
      </c>
      <c r="B711" s="1" t="s">
        <v>69</v>
      </c>
      <c r="C711" s="1" t="s">
        <v>18</v>
      </c>
      <c r="D711" s="1">
        <v>592.0</v>
      </c>
      <c r="E711" s="1">
        <v>491.0</v>
      </c>
      <c r="F711" s="1">
        <f t="shared" si="2"/>
        <v>-101</v>
      </c>
      <c r="G711" s="1">
        <f t="shared" si="3"/>
        <v>101</v>
      </c>
      <c r="H711" s="6">
        <f t="shared" si="4"/>
        <v>0.1706081081</v>
      </c>
      <c r="I711" s="6">
        <f t="shared" si="5"/>
        <v>0.8293918919</v>
      </c>
      <c r="J711" s="1">
        <f t="shared" si="6"/>
        <v>-101</v>
      </c>
      <c r="K711" s="1" t="str">
        <f t="shared" si="7"/>
        <v>Under Forecast</v>
      </c>
      <c r="L711" s="1">
        <f>F711+J710</f>
        <v>-59</v>
      </c>
      <c r="M711" s="7">
        <f t="shared" si="10"/>
        <v>69.87464789</v>
      </c>
      <c r="N711" s="7">
        <f t="shared" si="8"/>
        <v>-0.8443691923</v>
      </c>
      <c r="O711" s="2" t="str">
        <f t="shared" si="9"/>
        <v>Acceptable</v>
      </c>
    </row>
    <row r="712" ht="15.75" customHeight="1">
      <c r="A712" s="1" t="s">
        <v>88</v>
      </c>
      <c r="B712" s="1" t="s">
        <v>69</v>
      </c>
      <c r="C712" s="1" t="s">
        <v>19</v>
      </c>
      <c r="D712" s="1">
        <v>651.0</v>
      </c>
      <c r="E712" s="1">
        <v>570.0</v>
      </c>
      <c r="F712" s="1">
        <f t="shared" si="2"/>
        <v>-81</v>
      </c>
      <c r="G712" s="1">
        <f t="shared" si="3"/>
        <v>81</v>
      </c>
      <c r="H712" s="6">
        <f t="shared" si="4"/>
        <v>0.1244239631</v>
      </c>
      <c r="I712" s="6">
        <f t="shared" si="5"/>
        <v>0.8755760369</v>
      </c>
      <c r="J712" s="1">
        <f t="shared" si="6"/>
        <v>-81</v>
      </c>
      <c r="K712" s="1" t="str">
        <f t="shared" si="7"/>
        <v>Under Forecast</v>
      </c>
      <c r="L712" s="1">
        <f>F712</f>
        <v>-81</v>
      </c>
      <c r="M712" s="7">
        <f t="shared" si="10"/>
        <v>69.89029536</v>
      </c>
      <c r="N712" s="7">
        <f t="shared" si="8"/>
        <v>-1.158959189</v>
      </c>
      <c r="O712" s="2" t="str">
        <f t="shared" si="9"/>
        <v>Acceptable</v>
      </c>
    </row>
    <row r="713" ht="15.75" customHeight="1">
      <c r="A713" s="1" t="s">
        <v>88</v>
      </c>
      <c r="B713" s="1" t="s">
        <v>69</v>
      </c>
      <c r="C713" s="1" t="s">
        <v>20</v>
      </c>
      <c r="D713" s="1">
        <v>660.0</v>
      </c>
      <c r="E713" s="1">
        <v>588.0</v>
      </c>
      <c r="F713" s="1">
        <f t="shared" si="2"/>
        <v>-72</v>
      </c>
      <c r="G713" s="1">
        <f t="shared" si="3"/>
        <v>72</v>
      </c>
      <c r="H713" s="6">
        <f t="shared" si="4"/>
        <v>0.1090909091</v>
      </c>
      <c r="I713" s="6">
        <f t="shared" si="5"/>
        <v>0.8909090909</v>
      </c>
      <c r="J713" s="1">
        <f t="shared" si="6"/>
        <v>-72</v>
      </c>
      <c r="K713" s="1" t="str">
        <f t="shared" si="7"/>
        <v>Under Forecast</v>
      </c>
      <c r="L713" s="1">
        <f>F713+J712</f>
        <v>-153</v>
      </c>
      <c r="M713" s="7">
        <f t="shared" si="10"/>
        <v>69.89325843</v>
      </c>
      <c r="N713" s="7">
        <f t="shared" si="8"/>
        <v>-2.189052327</v>
      </c>
      <c r="O713" s="2" t="str">
        <f t="shared" si="9"/>
        <v>Acceptable</v>
      </c>
    </row>
    <row r="714" ht="15.75" customHeight="1">
      <c r="A714" s="1" t="s">
        <v>88</v>
      </c>
      <c r="B714" s="1" t="s">
        <v>69</v>
      </c>
      <c r="C714" s="1" t="s">
        <v>21</v>
      </c>
      <c r="D714" s="1">
        <v>773.0</v>
      </c>
      <c r="E714" s="1">
        <v>743.0</v>
      </c>
      <c r="F714" s="1">
        <f t="shared" si="2"/>
        <v>-30</v>
      </c>
      <c r="G714" s="1">
        <f t="shared" si="3"/>
        <v>30</v>
      </c>
      <c r="H714" s="6">
        <f t="shared" si="4"/>
        <v>0.03880983182</v>
      </c>
      <c r="I714" s="6">
        <f t="shared" si="5"/>
        <v>0.9611901682</v>
      </c>
      <c r="J714" s="1">
        <f t="shared" si="6"/>
        <v>-30</v>
      </c>
      <c r="K714" s="1" t="str">
        <f t="shared" si="7"/>
        <v>Under Forecast</v>
      </c>
      <c r="L714" s="1">
        <f>F714</f>
        <v>-30</v>
      </c>
      <c r="M714" s="7">
        <f t="shared" si="10"/>
        <v>69.83730715</v>
      </c>
      <c r="N714" s="7">
        <f t="shared" si="8"/>
        <v>-0.4295698277</v>
      </c>
      <c r="O714" s="2" t="str">
        <f t="shared" si="9"/>
        <v>Acceptable</v>
      </c>
    </row>
    <row r="715" ht="15.75" customHeight="1">
      <c r="A715" s="1" t="s">
        <v>88</v>
      </c>
      <c r="B715" s="1" t="s">
        <v>69</v>
      </c>
      <c r="C715" s="1" t="s">
        <v>22</v>
      </c>
      <c r="D715" s="1">
        <v>734.0</v>
      </c>
      <c r="E715" s="1">
        <v>721.0</v>
      </c>
      <c r="F715" s="1">
        <f t="shared" si="2"/>
        <v>-13</v>
      </c>
      <c r="G715" s="1">
        <f t="shared" si="3"/>
        <v>13</v>
      </c>
      <c r="H715" s="6">
        <f t="shared" si="4"/>
        <v>0.01771117166</v>
      </c>
      <c r="I715" s="6">
        <f t="shared" si="5"/>
        <v>0.9822888283</v>
      </c>
      <c r="J715" s="1">
        <f t="shared" si="6"/>
        <v>-13</v>
      </c>
      <c r="K715" s="1" t="str">
        <f t="shared" si="7"/>
        <v>Under Forecast</v>
      </c>
      <c r="L715" s="1">
        <f>F715+J714</f>
        <v>-43</v>
      </c>
      <c r="M715" s="7">
        <f t="shared" si="10"/>
        <v>69.75770308</v>
      </c>
      <c r="N715" s="7">
        <f t="shared" si="8"/>
        <v>-0.6164193788</v>
      </c>
      <c r="O715" s="2" t="str">
        <f t="shared" si="9"/>
        <v>Acceptable</v>
      </c>
    </row>
    <row r="716" ht="15.75" customHeight="1">
      <c r="A716" s="1" t="s">
        <v>88</v>
      </c>
      <c r="B716" s="1" t="s">
        <v>69</v>
      </c>
      <c r="C716" s="1" t="s">
        <v>23</v>
      </c>
      <c r="D716" s="1">
        <v>832.0</v>
      </c>
      <c r="E716" s="1">
        <v>733.0</v>
      </c>
      <c r="F716" s="1">
        <f t="shared" si="2"/>
        <v>-99</v>
      </c>
      <c r="G716" s="1">
        <f t="shared" si="3"/>
        <v>99</v>
      </c>
      <c r="H716" s="6">
        <f t="shared" si="4"/>
        <v>0.1189903846</v>
      </c>
      <c r="I716" s="6">
        <f t="shared" si="5"/>
        <v>0.8810096154</v>
      </c>
      <c r="J716" s="1">
        <f t="shared" si="6"/>
        <v>-99</v>
      </c>
      <c r="K716" s="1" t="str">
        <f t="shared" si="7"/>
        <v>Under Forecast</v>
      </c>
      <c r="L716" s="1">
        <f>F716</f>
        <v>-99</v>
      </c>
      <c r="M716" s="7">
        <f t="shared" si="10"/>
        <v>69.7986014</v>
      </c>
      <c r="N716" s="7">
        <f t="shared" si="8"/>
        <v>-1.418366529</v>
      </c>
      <c r="O716" s="2" t="str">
        <f t="shared" si="9"/>
        <v>Acceptable</v>
      </c>
    </row>
    <row r="717" ht="15.75" customHeight="1">
      <c r="A717" s="1" t="s">
        <v>88</v>
      </c>
      <c r="B717" s="1" t="s">
        <v>69</v>
      </c>
      <c r="C717" s="1" t="s">
        <v>24</v>
      </c>
      <c r="D717" s="1">
        <v>776.0</v>
      </c>
      <c r="E717" s="1">
        <v>649.0</v>
      </c>
      <c r="F717" s="1">
        <f t="shared" si="2"/>
        <v>-127</v>
      </c>
      <c r="G717" s="1">
        <f t="shared" si="3"/>
        <v>127</v>
      </c>
      <c r="H717" s="6">
        <f t="shared" si="4"/>
        <v>0.1636597938</v>
      </c>
      <c r="I717" s="6">
        <f t="shared" si="5"/>
        <v>0.8363402062</v>
      </c>
      <c r="J717" s="1">
        <f t="shared" si="6"/>
        <v>-127</v>
      </c>
      <c r="K717" s="1" t="str">
        <f t="shared" si="7"/>
        <v>Under Forecast</v>
      </c>
      <c r="L717" s="1">
        <f>F717+J716</f>
        <v>-226</v>
      </c>
      <c r="M717" s="7">
        <f t="shared" si="10"/>
        <v>69.87849162</v>
      </c>
      <c r="N717" s="7">
        <f t="shared" si="8"/>
        <v>-3.234185438</v>
      </c>
      <c r="O717" s="2" t="str">
        <f t="shared" si="9"/>
        <v>Acceptable</v>
      </c>
    </row>
    <row r="718" ht="15.75" customHeight="1">
      <c r="A718" s="1" t="s">
        <v>88</v>
      </c>
      <c r="B718" s="1" t="s">
        <v>69</v>
      </c>
      <c r="C718" s="1" t="s">
        <v>25</v>
      </c>
      <c r="D718" s="1">
        <v>717.0</v>
      </c>
      <c r="E718" s="1">
        <v>720.0</v>
      </c>
      <c r="F718" s="1">
        <f t="shared" si="2"/>
        <v>3</v>
      </c>
      <c r="G718" s="1">
        <f t="shared" si="3"/>
        <v>3</v>
      </c>
      <c r="H718" s="6">
        <f t="shared" si="4"/>
        <v>0.004184100418</v>
      </c>
      <c r="I718" s="6">
        <f t="shared" si="5"/>
        <v>0.9958158996</v>
      </c>
      <c r="J718" s="1">
        <f t="shared" si="6"/>
        <v>3</v>
      </c>
      <c r="K718" s="1" t="str">
        <f t="shared" si="7"/>
        <v>Over Forecast</v>
      </c>
      <c r="L718" s="1">
        <f>F718</f>
        <v>3</v>
      </c>
      <c r="M718" s="7">
        <f t="shared" si="10"/>
        <v>69.78521618</v>
      </c>
      <c r="N718" s="7">
        <f t="shared" si="8"/>
        <v>0.04298904789</v>
      </c>
      <c r="O718" s="2" t="str">
        <f t="shared" si="9"/>
        <v>Acceptable</v>
      </c>
    </row>
    <row r="719" ht="15.75" customHeight="1">
      <c r="A719" s="1" t="s">
        <v>88</v>
      </c>
      <c r="B719" s="1" t="s">
        <v>69</v>
      </c>
      <c r="C719" s="1" t="s">
        <v>26</v>
      </c>
      <c r="D719" s="1">
        <v>722.0</v>
      </c>
      <c r="E719" s="1">
        <v>691.0</v>
      </c>
      <c r="F719" s="1">
        <f t="shared" si="2"/>
        <v>-31</v>
      </c>
      <c r="G719" s="1">
        <f t="shared" si="3"/>
        <v>31</v>
      </c>
      <c r="H719" s="6">
        <f t="shared" si="4"/>
        <v>0.04293628809</v>
      </c>
      <c r="I719" s="6">
        <f t="shared" si="5"/>
        <v>0.9570637119</v>
      </c>
      <c r="J719" s="1">
        <f t="shared" si="6"/>
        <v>-31</v>
      </c>
      <c r="K719" s="1" t="str">
        <f t="shared" si="7"/>
        <v>Under Forecast</v>
      </c>
      <c r="L719" s="1">
        <f>F719+J718</f>
        <v>-28</v>
      </c>
      <c r="M719" s="7">
        <f t="shared" si="10"/>
        <v>69.73119777</v>
      </c>
      <c r="N719" s="7">
        <f t="shared" si="8"/>
        <v>-0.4015419338</v>
      </c>
      <c r="O719" s="2" t="str">
        <f t="shared" si="9"/>
        <v>Acceptable</v>
      </c>
    </row>
    <row r="720" ht="15.75" customHeight="1">
      <c r="A720" s="1" t="s">
        <v>88</v>
      </c>
      <c r="B720" s="1" t="s">
        <v>69</v>
      </c>
      <c r="C720" s="1" t="s">
        <v>27</v>
      </c>
      <c r="D720" s="1">
        <v>809.0</v>
      </c>
      <c r="E720" s="1">
        <v>673.0</v>
      </c>
      <c r="F720" s="1">
        <f t="shared" si="2"/>
        <v>-136</v>
      </c>
      <c r="G720" s="1">
        <f t="shared" si="3"/>
        <v>136</v>
      </c>
      <c r="H720" s="6">
        <f t="shared" si="4"/>
        <v>0.1681087763</v>
      </c>
      <c r="I720" s="6">
        <f t="shared" si="5"/>
        <v>0.8318912237</v>
      </c>
      <c r="J720" s="1">
        <f t="shared" si="6"/>
        <v>-136</v>
      </c>
      <c r="K720" s="1" t="str">
        <f t="shared" si="7"/>
        <v>Under Forecast</v>
      </c>
      <c r="L720" s="1">
        <f>F720</f>
        <v>-136</v>
      </c>
      <c r="M720" s="7">
        <f t="shared" si="10"/>
        <v>69.82336579</v>
      </c>
      <c r="N720" s="7">
        <f t="shared" si="8"/>
        <v>-1.947772045</v>
      </c>
      <c r="O720" s="2" t="str">
        <f t="shared" si="9"/>
        <v>Acceptable</v>
      </c>
    </row>
    <row r="721" ht="15.75" customHeight="1">
      <c r="A721" s="1" t="s">
        <v>88</v>
      </c>
      <c r="B721" s="1" t="s">
        <v>69</v>
      </c>
      <c r="C721" s="1" t="s">
        <v>28</v>
      </c>
      <c r="D721" s="1">
        <v>784.0</v>
      </c>
      <c r="E721" s="1">
        <v>687.0</v>
      </c>
      <c r="F721" s="1">
        <f t="shared" si="2"/>
        <v>-97</v>
      </c>
      <c r="G721" s="1">
        <f t="shared" si="3"/>
        <v>97</v>
      </c>
      <c r="H721" s="6">
        <f t="shared" si="4"/>
        <v>0.1237244898</v>
      </c>
      <c r="I721" s="6">
        <f t="shared" si="5"/>
        <v>0.8762755102</v>
      </c>
      <c r="J721" s="1">
        <f t="shared" si="6"/>
        <v>-97</v>
      </c>
      <c r="K721" s="1" t="str">
        <f t="shared" si="7"/>
        <v>Under Forecast</v>
      </c>
      <c r="L721" s="1">
        <f>F721+J720</f>
        <v>-233</v>
      </c>
      <c r="M721" s="7">
        <f t="shared" si="10"/>
        <v>69.86111111</v>
      </c>
      <c r="N721" s="7">
        <f t="shared" si="8"/>
        <v>-3.335188867</v>
      </c>
      <c r="O721" s="2" t="str">
        <f t="shared" si="9"/>
        <v>Acceptable</v>
      </c>
    </row>
    <row r="722" ht="15.75" customHeight="1">
      <c r="A722" s="1" t="s">
        <v>89</v>
      </c>
      <c r="B722" s="1" t="s">
        <v>69</v>
      </c>
      <c r="C722" s="1" t="s">
        <v>17</v>
      </c>
      <c r="D722" s="1">
        <v>294.0</v>
      </c>
      <c r="E722" s="1">
        <v>313.0</v>
      </c>
      <c r="F722" s="1">
        <f t="shared" si="2"/>
        <v>19</v>
      </c>
      <c r="G722" s="1">
        <f t="shared" si="3"/>
        <v>19</v>
      </c>
      <c r="H722" s="6">
        <f t="shared" si="4"/>
        <v>0.06462585034</v>
      </c>
      <c r="I722" s="6">
        <f t="shared" si="5"/>
        <v>0.9353741497</v>
      </c>
      <c r="J722" s="1">
        <f t="shared" si="6"/>
        <v>19</v>
      </c>
      <c r="K722" s="1" t="str">
        <f t="shared" si="7"/>
        <v>Over Forecast</v>
      </c>
      <c r="L722" s="1">
        <f>F722</f>
        <v>19</v>
      </c>
      <c r="M722" s="7">
        <f t="shared" si="10"/>
        <v>69.79056865</v>
      </c>
      <c r="N722" s="7">
        <f t="shared" si="8"/>
        <v>0.2722430891</v>
      </c>
      <c r="O722" s="2" t="str">
        <f t="shared" si="9"/>
        <v>Acceptable</v>
      </c>
    </row>
    <row r="723" ht="15.75" customHeight="1">
      <c r="A723" s="1" t="s">
        <v>89</v>
      </c>
      <c r="B723" s="1" t="s">
        <v>69</v>
      </c>
      <c r="C723" s="1" t="s">
        <v>18</v>
      </c>
      <c r="D723" s="1">
        <v>324.0</v>
      </c>
      <c r="E723" s="1">
        <v>316.0</v>
      </c>
      <c r="F723" s="1">
        <f t="shared" si="2"/>
        <v>-8</v>
      </c>
      <c r="G723" s="1">
        <f t="shared" si="3"/>
        <v>8</v>
      </c>
      <c r="H723" s="6">
        <f t="shared" si="4"/>
        <v>0.02469135802</v>
      </c>
      <c r="I723" s="6">
        <f t="shared" si="5"/>
        <v>0.975308642</v>
      </c>
      <c r="J723" s="1">
        <f t="shared" si="6"/>
        <v>-8</v>
      </c>
      <c r="K723" s="1" t="str">
        <f t="shared" si="7"/>
        <v>Under Forecast</v>
      </c>
      <c r="L723" s="1">
        <f>F723+J722</f>
        <v>11</v>
      </c>
      <c r="M723" s="7">
        <f t="shared" si="10"/>
        <v>69.70498615</v>
      </c>
      <c r="N723" s="7">
        <f t="shared" si="8"/>
        <v>0.1578079361</v>
      </c>
      <c r="O723" s="2" t="str">
        <f t="shared" si="9"/>
        <v>Acceptable</v>
      </c>
    </row>
    <row r="724" ht="15.75" customHeight="1">
      <c r="A724" s="1" t="s">
        <v>89</v>
      </c>
      <c r="B724" s="1" t="s">
        <v>69</v>
      </c>
      <c r="C724" s="1" t="s">
        <v>19</v>
      </c>
      <c r="D724" s="1">
        <v>321.0</v>
      </c>
      <c r="E724" s="1">
        <v>263.0</v>
      </c>
      <c r="F724" s="1">
        <f t="shared" si="2"/>
        <v>-58</v>
      </c>
      <c r="G724" s="1">
        <f t="shared" si="3"/>
        <v>58</v>
      </c>
      <c r="H724" s="6">
        <f t="shared" si="4"/>
        <v>0.1806853583</v>
      </c>
      <c r="I724" s="6">
        <f t="shared" si="5"/>
        <v>0.8193146417</v>
      </c>
      <c r="J724" s="1">
        <f t="shared" si="6"/>
        <v>-58</v>
      </c>
      <c r="K724" s="1" t="str">
        <f t="shared" si="7"/>
        <v>Under Forecast</v>
      </c>
      <c r="L724" s="1">
        <f>F724</f>
        <v>-58</v>
      </c>
      <c r="M724" s="7">
        <f t="shared" si="10"/>
        <v>69.68879668</v>
      </c>
      <c r="N724" s="7">
        <f t="shared" si="8"/>
        <v>-0.8322715094</v>
      </c>
      <c r="O724" s="2" t="str">
        <f t="shared" si="9"/>
        <v>Acceptable</v>
      </c>
    </row>
    <row r="725" ht="15.75" customHeight="1">
      <c r="A725" s="1" t="s">
        <v>89</v>
      </c>
      <c r="B725" s="1" t="s">
        <v>69</v>
      </c>
      <c r="C725" s="1" t="s">
        <v>20</v>
      </c>
      <c r="D725" s="1">
        <v>371.0</v>
      </c>
      <c r="E725" s="1">
        <v>361.0</v>
      </c>
      <c r="F725" s="1">
        <f t="shared" si="2"/>
        <v>-10</v>
      </c>
      <c r="G725" s="1">
        <f t="shared" si="3"/>
        <v>10</v>
      </c>
      <c r="H725" s="6">
        <f t="shared" si="4"/>
        <v>0.0269541779</v>
      </c>
      <c r="I725" s="6">
        <f t="shared" si="5"/>
        <v>0.9730458221</v>
      </c>
      <c r="J725" s="1">
        <f t="shared" si="6"/>
        <v>-10</v>
      </c>
      <c r="K725" s="1" t="str">
        <f t="shared" si="7"/>
        <v>Under Forecast</v>
      </c>
      <c r="L725" s="1">
        <f>F725+J724</f>
        <v>-68</v>
      </c>
      <c r="M725" s="7">
        <f t="shared" si="10"/>
        <v>69.60635359</v>
      </c>
      <c r="N725" s="7">
        <f t="shared" si="8"/>
        <v>-0.9769223137</v>
      </c>
      <c r="O725" s="2" t="str">
        <f t="shared" si="9"/>
        <v>Acceptable</v>
      </c>
    </row>
    <row r="726" ht="15.75" customHeight="1">
      <c r="A726" s="1" t="s">
        <v>89</v>
      </c>
      <c r="B726" s="1" t="s">
        <v>69</v>
      </c>
      <c r="C726" s="1" t="s">
        <v>21</v>
      </c>
      <c r="D726" s="1">
        <v>381.0</v>
      </c>
      <c r="E726" s="1">
        <v>403.0</v>
      </c>
      <c r="F726" s="1">
        <f t="shared" si="2"/>
        <v>22</v>
      </c>
      <c r="G726" s="1">
        <f t="shared" si="3"/>
        <v>22</v>
      </c>
      <c r="H726" s="6">
        <f t="shared" si="4"/>
        <v>0.05774278215</v>
      </c>
      <c r="I726" s="6">
        <f t="shared" si="5"/>
        <v>0.9422572178</v>
      </c>
      <c r="J726" s="1">
        <f t="shared" si="6"/>
        <v>22</v>
      </c>
      <c r="K726" s="1" t="str">
        <f t="shared" si="7"/>
        <v>Over Forecast</v>
      </c>
      <c r="L726" s="1">
        <f>F726</f>
        <v>22</v>
      </c>
      <c r="M726" s="7">
        <f t="shared" si="10"/>
        <v>69.54068966</v>
      </c>
      <c r="N726" s="7">
        <f t="shared" si="8"/>
        <v>0.3163615447</v>
      </c>
      <c r="O726" s="2" t="str">
        <f t="shared" si="9"/>
        <v>Acceptable</v>
      </c>
    </row>
    <row r="727" ht="15.75" customHeight="1">
      <c r="A727" s="1" t="s">
        <v>89</v>
      </c>
      <c r="B727" s="1" t="s">
        <v>69</v>
      </c>
      <c r="C727" s="1" t="s">
        <v>22</v>
      </c>
      <c r="D727" s="1">
        <v>395.0</v>
      </c>
      <c r="E727" s="1">
        <v>344.0</v>
      </c>
      <c r="F727" s="1">
        <f t="shared" si="2"/>
        <v>-51</v>
      </c>
      <c r="G727" s="1">
        <f t="shared" si="3"/>
        <v>51</v>
      </c>
      <c r="H727" s="6">
        <f t="shared" si="4"/>
        <v>0.1291139241</v>
      </c>
      <c r="I727" s="6">
        <f t="shared" si="5"/>
        <v>0.8708860759</v>
      </c>
      <c r="J727" s="1">
        <f t="shared" si="6"/>
        <v>-51</v>
      </c>
      <c r="K727" s="1" t="str">
        <f t="shared" si="7"/>
        <v>Under Forecast</v>
      </c>
      <c r="L727" s="1">
        <f>F727+J726</f>
        <v>-29</v>
      </c>
      <c r="M727" s="7">
        <f t="shared" si="10"/>
        <v>69.51515152</v>
      </c>
      <c r="N727" s="7">
        <f t="shared" si="8"/>
        <v>-0.4171752398</v>
      </c>
      <c r="O727" s="2" t="str">
        <f t="shared" si="9"/>
        <v>Acceptable</v>
      </c>
    </row>
    <row r="728" ht="15.75" customHeight="1">
      <c r="A728" s="1" t="s">
        <v>89</v>
      </c>
      <c r="B728" s="1" t="s">
        <v>69</v>
      </c>
      <c r="C728" s="1" t="s">
        <v>23</v>
      </c>
      <c r="D728" s="1">
        <v>382.0</v>
      </c>
      <c r="E728" s="1">
        <v>417.0</v>
      </c>
      <c r="F728" s="1">
        <f t="shared" si="2"/>
        <v>35</v>
      </c>
      <c r="G728" s="1">
        <f t="shared" si="3"/>
        <v>35</v>
      </c>
      <c r="H728" s="6">
        <f t="shared" si="4"/>
        <v>0.09162303665</v>
      </c>
      <c r="I728" s="6">
        <f t="shared" si="5"/>
        <v>0.9083769634</v>
      </c>
      <c r="J728" s="1">
        <f t="shared" si="6"/>
        <v>35</v>
      </c>
      <c r="K728" s="1" t="str">
        <f t="shared" si="7"/>
        <v>Over Forecast</v>
      </c>
      <c r="L728" s="1">
        <f>F728</f>
        <v>35</v>
      </c>
      <c r="M728" s="7">
        <f t="shared" si="10"/>
        <v>69.46767538</v>
      </c>
      <c r="N728" s="7">
        <f t="shared" si="8"/>
        <v>0.5038314556</v>
      </c>
      <c r="O728" s="2" t="str">
        <f t="shared" si="9"/>
        <v>Acceptable</v>
      </c>
    </row>
    <row r="729" ht="15.75" customHeight="1">
      <c r="A729" s="1" t="s">
        <v>89</v>
      </c>
      <c r="B729" s="1" t="s">
        <v>69</v>
      </c>
      <c r="C729" s="1" t="s">
        <v>24</v>
      </c>
      <c r="D729" s="1">
        <v>403.0</v>
      </c>
      <c r="E729" s="1">
        <v>397.0</v>
      </c>
      <c r="F729" s="1">
        <f t="shared" si="2"/>
        <v>-6</v>
      </c>
      <c r="G729" s="1">
        <f t="shared" si="3"/>
        <v>6</v>
      </c>
      <c r="H729" s="6">
        <f t="shared" si="4"/>
        <v>0.01488833747</v>
      </c>
      <c r="I729" s="6">
        <f t="shared" si="5"/>
        <v>0.9851116625</v>
      </c>
      <c r="J729" s="1">
        <f t="shared" si="6"/>
        <v>-6</v>
      </c>
      <c r="K729" s="1" t="str">
        <f t="shared" si="7"/>
        <v>Under Forecast</v>
      </c>
      <c r="L729" s="1">
        <f>F729+J728</f>
        <v>29</v>
      </c>
      <c r="M729" s="7">
        <f t="shared" si="10"/>
        <v>69.38049451</v>
      </c>
      <c r="N729" s="7">
        <f t="shared" si="8"/>
        <v>0.4179849136</v>
      </c>
      <c r="O729" s="2" t="str">
        <f t="shared" si="9"/>
        <v>Acceptable</v>
      </c>
    </row>
    <row r="730" ht="15.75" customHeight="1">
      <c r="A730" s="1" t="s">
        <v>89</v>
      </c>
      <c r="B730" s="1" t="s">
        <v>69</v>
      </c>
      <c r="C730" s="1" t="s">
        <v>25</v>
      </c>
      <c r="D730" s="1">
        <v>346.0</v>
      </c>
      <c r="E730" s="1">
        <v>315.0</v>
      </c>
      <c r="F730" s="1">
        <f t="shared" si="2"/>
        <v>-31</v>
      </c>
      <c r="G730" s="1">
        <f t="shared" si="3"/>
        <v>31</v>
      </c>
      <c r="H730" s="6">
        <f t="shared" si="4"/>
        <v>0.08959537572</v>
      </c>
      <c r="I730" s="6">
        <f t="shared" si="5"/>
        <v>0.9104046243</v>
      </c>
      <c r="J730" s="1">
        <f t="shared" si="6"/>
        <v>-31</v>
      </c>
      <c r="K730" s="1" t="str">
        <f t="shared" si="7"/>
        <v>Under Forecast</v>
      </c>
      <c r="L730" s="1">
        <f>F730</f>
        <v>-31</v>
      </c>
      <c r="M730" s="7">
        <f t="shared" si="10"/>
        <v>69.32784636</v>
      </c>
      <c r="N730" s="7">
        <f t="shared" si="8"/>
        <v>-0.4471507717</v>
      </c>
      <c r="O730" s="2" t="str">
        <f t="shared" si="9"/>
        <v>Acceptable</v>
      </c>
    </row>
    <row r="731" ht="15.75" customHeight="1">
      <c r="A731" s="1" t="s">
        <v>89</v>
      </c>
      <c r="B731" s="1" t="s">
        <v>69</v>
      </c>
      <c r="C731" s="1" t="s">
        <v>26</v>
      </c>
      <c r="D731" s="1">
        <v>375.0</v>
      </c>
      <c r="E731" s="1">
        <v>403.0</v>
      </c>
      <c r="F731" s="1">
        <f t="shared" si="2"/>
        <v>28</v>
      </c>
      <c r="G731" s="1">
        <f t="shared" si="3"/>
        <v>28</v>
      </c>
      <c r="H731" s="6">
        <f t="shared" si="4"/>
        <v>0.07466666667</v>
      </c>
      <c r="I731" s="6">
        <f t="shared" si="5"/>
        <v>0.9253333333</v>
      </c>
      <c r="J731" s="1">
        <f t="shared" si="6"/>
        <v>28</v>
      </c>
      <c r="K731" s="1" t="str">
        <f t="shared" si="7"/>
        <v>Over Forecast</v>
      </c>
      <c r="L731" s="1">
        <f>F731+J730</f>
        <v>-3</v>
      </c>
      <c r="M731" s="7">
        <f t="shared" si="10"/>
        <v>69.27123288</v>
      </c>
      <c r="N731" s="7">
        <f t="shared" si="8"/>
        <v>-0.04330802088</v>
      </c>
      <c r="O731" s="2" t="str">
        <f t="shared" si="9"/>
        <v>Acceptable</v>
      </c>
    </row>
    <row r="732" ht="15.75" customHeight="1">
      <c r="A732" s="1" t="s">
        <v>89</v>
      </c>
      <c r="B732" s="1" t="s">
        <v>69</v>
      </c>
      <c r="C732" s="1" t="s">
        <v>27</v>
      </c>
      <c r="D732" s="1">
        <v>366.0</v>
      </c>
      <c r="E732" s="1">
        <v>389.0</v>
      </c>
      <c r="F732" s="1">
        <f t="shared" si="2"/>
        <v>23</v>
      </c>
      <c r="G732" s="1">
        <f t="shared" si="3"/>
        <v>23</v>
      </c>
      <c r="H732" s="6">
        <f t="shared" si="4"/>
        <v>0.06284153005</v>
      </c>
      <c r="I732" s="6">
        <f t="shared" si="5"/>
        <v>0.9371584699</v>
      </c>
      <c r="J732" s="1">
        <f t="shared" si="6"/>
        <v>23</v>
      </c>
      <c r="K732" s="1" t="str">
        <f t="shared" si="7"/>
        <v>Over Forecast</v>
      </c>
      <c r="L732" s="1">
        <f>F732</f>
        <v>23</v>
      </c>
      <c r="M732" s="7">
        <f t="shared" si="10"/>
        <v>69.20793434</v>
      </c>
      <c r="N732" s="7">
        <f t="shared" si="8"/>
        <v>0.3323318377</v>
      </c>
      <c r="O732" s="2" t="str">
        <f t="shared" si="9"/>
        <v>Acceptable</v>
      </c>
    </row>
    <row r="733" ht="15.75" customHeight="1">
      <c r="A733" s="1" t="s">
        <v>89</v>
      </c>
      <c r="B733" s="1" t="s">
        <v>69</v>
      </c>
      <c r="C733" s="1" t="s">
        <v>28</v>
      </c>
      <c r="D733" s="1">
        <v>364.0</v>
      </c>
      <c r="E733" s="1">
        <v>314.0</v>
      </c>
      <c r="F733" s="1">
        <f t="shared" si="2"/>
        <v>-50</v>
      </c>
      <c r="G733" s="1">
        <f t="shared" si="3"/>
        <v>50</v>
      </c>
      <c r="H733" s="6">
        <f t="shared" si="4"/>
        <v>0.1373626374</v>
      </c>
      <c r="I733" s="6">
        <f t="shared" si="5"/>
        <v>0.8626373626</v>
      </c>
      <c r="J733" s="1">
        <f t="shared" si="6"/>
        <v>-50</v>
      </c>
      <c r="K733" s="1" t="str">
        <f t="shared" si="7"/>
        <v>Under Forecast</v>
      </c>
      <c r="L733" s="1">
        <f>F733+J732</f>
        <v>-27</v>
      </c>
      <c r="M733" s="7">
        <f t="shared" si="10"/>
        <v>69.18169399</v>
      </c>
      <c r="N733" s="7">
        <f t="shared" si="8"/>
        <v>-0.3902766533</v>
      </c>
      <c r="O733" s="2" t="str">
        <f t="shared" si="9"/>
        <v>Acceptable</v>
      </c>
    </row>
    <row r="734" ht="15.75" customHeight="1">
      <c r="A734" s="1" t="s">
        <v>90</v>
      </c>
      <c r="B734" s="1" t="s">
        <v>69</v>
      </c>
      <c r="C734" s="1" t="s">
        <v>17</v>
      </c>
      <c r="D734" s="1">
        <v>663.0</v>
      </c>
      <c r="E734" s="1">
        <v>676.0</v>
      </c>
      <c r="F734" s="1">
        <f t="shared" si="2"/>
        <v>13</v>
      </c>
      <c r="G734" s="1">
        <f t="shared" si="3"/>
        <v>13</v>
      </c>
      <c r="H734" s="6">
        <f t="shared" si="4"/>
        <v>0.01960784314</v>
      </c>
      <c r="I734" s="6">
        <f t="shared" si="5"/>
        <v>0.9803921569</v>
      </c>
      <c r="J734" s="1">
        <f t="shared" si="6"/>
        <v>13</v>
      </c>
      <c r="K734" s="1" t="str">
        <f t="shared" si="7"/>
        <v>Over Forecast</v>
      </c>
      <c r="L734" s="1">
        <f>F734</f>
        <v>13</v>
      </c>
      <c r="M734" s="7">
        <f t="shared" si="10"/>
        <v>69.10504775</v>
      </c>
      <c r="N734" s="7">
        <f t="shared" si="8"/>
        <v>0.1881193983</v>
      </c>
      <c r="O734" s="2" t="str">
        <f t="shared" si="9"/>
        <v>Acceptable</v>
      </c>
    </row>
    <row r="735" ht="15.75" customHeight="1">
      <c r="A735" s="1" t="s">
        <v>90</v>
      </c>
      <c r="B735" s="1" t="s">
        <v>69</v>
      </c>
      <c r="C735" s="1" t="s">
        <v>18</v>
      </c>
      <c r="D735" s="1">
        <v>796.0</v>
      </c>
      <c r="E735" s="1">
        <v>688.0</v>
      </c>
      <c r="F735" s="1">
        <f t="shared" si="2"/>
        <v>-108</v>
      </c>
      <c r="G735" s="1">
        <f t="shared" si="3"/>
        <v>108</v>
      </c>
      <c r="H735" s="6">
        <f t="shared" si="4"/>
        <v>0.135678392</v>
      </c>
      <c r="I735" s="6">
        <f t="shared" si="5"/>
        <v>0.864321608</v>
      </c>
      <c r="J735" s="1">
        <f t="shared" si="6"/>
        <v>-108</v>
      </c>
      <c r="K735" s="1" t="str">
        <f t="shared" si="7"/>
        <v>Under Forecast</v>
      </c>
      <c r="L735" s="1">
        <f>F735+J734</f>
        <v>-95</v>
      </c>
      <c r="M735" s="7">
        <f t="shared" si="10"/>
        <v>69.15803815</v>
      </c>
      <c r="N735" s="7">
        <f t="shared" si="8"/>
        <v>-1.37366534</v>
      </c>
      <c r="O735" s="2" t="str">
        <f t="shared" si="9"/>
        <v>Acceptable</v>
      </c>
    </row>
    <row r="736" ht="15.75" customHeight="1">
      <c r="A736" s="1" t="s">
        <v>90</v>
      </c>
      <c r="B736" s="1" t="s">
        <v>69</v>
      </c>
      <c r="C736" s="1" t="s">
        <v>19</v>
      </c>
      <c r="D736" s="1">
        <v>720.0</v>
      </c>
      <c r="E736" s="1">
        <v>581.0</v>
      </c>
      <c r="F736" s="1">
        <f t="shared" si="2"/>
        <v>-139</v>
      </c>
      <c r="G736" s="1">
        <f t="shared" si="3"/>
        <v>139</v>
      </c>
      <c r="H736" s="6">
        <f t="shared" si="4"/>
        <v>0.1930555556</v>
      </c>
      <c r="I736" s="6">
        <f t="shared" si="5"/>
        <v>0.8069444444</v>
      </c>
      <c r="J736" s="1">
        <f t="shared" si="6"/>
        <v>-139</v>
      </c>
      <c r="K736" s="1" t="str">
        <f t="shared" si="7"/>
        <v>Under Forecast</v>
      </c>
      <c r="L736" s="1">
        <f>F736</f>
        <v>-139</v>
      </c>
      <c r="M736" s="7">
        <f t="shared" si="10"/>
        <v>69.25306122</v>
      </c>
      <c r="N736" s="7">
        <f t="shared" si="8"/>
        <v>-2.007131491</v>
      </c>
      <c r="O736" s="2" t="str">
        <f t="shared" si="9"/>
        <v>Acceptable</v>
      </c>
    </row>
    <row r="737" ht="15.75" customHeight="1">
      <c r="A737" s="1" t="s">
        <v>90</v>
      </c>
      <c r="B737" s="1" t="s">
        <v>69</v>
      </c>
      <c r="C737" s="1" t="s">
        <v>20</v>
      </c>
      <c r="D737" s="1">
        <v>840.0</v>
      </c>
      <c r="E737" s="1">
        <v>824.0</v>
      </c>
      <c r="F737" s="1">
        <f t="shared" si="2"/>
        <v>-16</v>
      </c>
      <c r="G737" s="1">
        <f t="shared" si="3"/>
        <v>16</v>
      </c>
      <c r="H737" s="6">
        <f t="shared" si="4"/>
        <v>0.01904761905</v>
      </c>
      <c r="I737" s="6">
        <f t="shared" si="5"/>
        <v>0.980952381</v>
      </c>
      <c r="J737" s="1">
        <f t="shared" si="6"/>
        <v>-16</v>
      </c>
      <c r="K737" s="1" t="str">
        <f t="shared" si="7"/>
        <v>Under Forecast</v>
      </c>
      <c r="L737" s="1">
        <f>F737+J736</f>
        <v>-155</v>
      </c>
      <c r="M737" s="7">
        <f t="shared" si="10"/>
        <v>69.18070652</v>
      </c>
      <c r="N737" s="7">
        <f t="shared" si="8"/>
        <v>-2.240509064</v>
      </c>
      <c r="O737" s="2" t="str">
        <f t="shared" si="9"/>
        <v>Acceptable</v>
      </c>
    </row>
    <row r="738" ht="15.75" customHeight="1">
      <c r="A738" s="1" t="s">
        <v>90</v>
      </c>
      <c r="B738" s="1" t="s">
        <v>69</v>
      </c>
      <c r="C738" s="1" t="s">
        <v>21</v>
      </c>
      <c r="D738" s="1">
        <v>860.0</v>
      </c>
      <c r="E738" s="1">
        <v>747.0</v>
      </c>
      <c r="F738" s="1">
        <f t="shared" si="2"/>
        <v>-113</v>
      </c>
      <c r="G738" s="1">
        <f t="shared" si="3"/>
        <v>113</v>
      </c>
      <c r="H738" s="6">
        <f t="shared" si="4"/>
        <v>0.1313953488</v>
      </c>
      <c r="I738" s="6">
        <f t="shared" si="5"/>
        <v>0.8686046512</v>
      </c>
      <c r="J738" s="1">
        <f t="shared" si="6"/>
        <v>-113</v>
      </c>
      <c r="K738" s="1" t="str">
        <f t="shared" si="7"/>
        <v>Under Forecast</v>
      </c>
      <c r="L738" s="1">
        <f>F738</f>
        <v>-113</v>
      </c>
      <c r="M738" s="7">
        <f t="shared" si="10"/>
        <v>69.24016282</v>
      </c>
      <c r="N738" s="7">
        <f t="shared" si="8"/>
        <v>-1.632000784</v>
      </c>
      <c r="O738" s="2" t="str">
        <f t="shared" si="9"/>
        <v>Acceptable</v>
      </c>
    </row>
    <row r="739" ht="15.75" customHeight="1">
      <c r="A739" s="1" t="s">
        <v>90</v>
      </c>
      <c r="B739" s="1" t="s">
        <v>69</v>
      </c>
      <c r="C739" s="1" t="s">
        <v>22</v>
      </c>
      <c r="D739" s="1">
        <v>860.0</v>
      </c>
      <c r="E739" s="1">
        <v>841.0</v>
      </c>
      <c r="F739" s="1">
        <f t="shared" si="2"/>
        <v>-19</v>
      </c>
      <c r="G739" s="1">
        <f t="shared" si="3"/>
        <v>19</v>
      </c>
      <c r="H739" s="6">
        <f t="shared" si="4"/>
        <v>0.02209302326</v>
      </c>
      <c r="I739" s="6">
        <f t="shared" si="5"/>
        <v>0.9779069767</v>
      </c>
      <c r="J739" s="1">
        <f t="shared" si="6"/>
        <v>-19</v>
      </c>
      <c r="K739" s="1" t="str">
        <f t="shared" si="7"/>
        <v>Under Forecast</v>
      </c>
      <c r="L739" s="1">
        <f>F739+J738</f>
        <v>-132</v>
      </c>
      <c r="M739" s="7">
        <f t="shared" si="10"/>
        <v>69.17208672</v>
      </c>
      <c r="N739" s="7">
        <f t="shared" si="8"/>
        <v>-1.908284198</v>
      </c>
      <c r="O739" s="2" t="str">
        <f t="shared" si="9"/>
        <v>Acceptable</v>
      </c>
    </row>
    <row r="740" ht="15.75" customHeight="1">
      <c r="A740" s="1" t="s">
        <v>90</v>
      </c>
      <c r="B740" s="1" t="s">
        <v>69</v>
      </c>
      <c r="C740" s="1" t="s">
        <v>23</v>
      </c>
      <c r="D740" s="1">
        <v>907.0</v>
      </c>
      <c r="E740" s="1">
        <v>994.0</v>
      </c>
      <c r="F740" s="1">
        <f t="shared" si="2"/>
        <v>87</v>
      </c>
      <c r="G740" s="1">
        <f t="shared" si="3"/>
        <v>87</v>
      </c>
      <c r="H740" s="6">
        <f t="shared" si="4"/>
        <v>0.09592061742</v>
      </c>
      <c r="I740" s="6">
        <f t="shared" si="5"/>
        <v>0.9040793826</v>
      </c>
      <c r="J740" s="1">
        <f t="shared" si="6"/>
        <v>87</v>
      </c>
      <c r="K740" s="1" t="str">
        <f t="shared" si="7"/>
        <v>Over Forecast</v>
      </c>
      <c r="L740" s="1">
        <f>F740</f>
        <v>87</v>
      </c>
      <c r="M740" s="7">
        <f t="shared" si="10"/>
        <v>69.1962111</v>
      </c>
      <c r="N740" s="7">
        <f t="shared" si="8"/>
        <v>1.257294274</v>
      </c>
      <c r="O740" s="2" t="str">
        <f t="shared" si="9"/>
        <v>Acceptable</v>
      </c>
    </row>
    <row r="741" ht="15.75" customHeight="1">
      <c r="A741" s="1" t="s">
        <v>90</v>
      </c>
      <c r="B741" s="1" t="s">
        <v>69</v>
      </c>
      <c r="C741" s="1" t="s">
        <v>24</v>
      </c>
      <c r="D741" s="1">
        <v>822.0</v>
      </c>
      <c r="E741" s="1">
        <v>829.0</v>
      </c>
      <c r="F741" s="1">
        <f t="shared" si="2"/>
        <v>7</v>
      </c>
      <c r="G741" s="1">
        <f t="shared" si="3"/>
        <v>7</v>
      </c>
      <c r="H741" s="6">
        <f t="shared" si="4"/>
        <v>0.008515815085</v>
      </c>
      <c r="I741" s="6">
        <f t="shared" si="5"/>
        <v>0.9914841849</v>
      </c>
      <c r="J741" s="1">
        <f t="shared" si="6"/>
        <v>7</v>
      </c>
      <c r="K741" s="1" t="str">
        <f t="shared" si="7"/>
        <v>Over Forecast</v>
      </c>
      <c r="L741" s="1">
        <f>F741+J740</f>
        <v>94</v>
      </c>
      <c r="M741" s="7">
        <f t="shared" si="10"/>
        <v>69.11216216</v>
      </c>
      <c r="N741" s="7">
        <f t="shared" si="8"/>
        <v>1.360107933</v>
      </c>
      <c r="O741" s="2" t="str">
        <f t="shared" si="9"/>
        <v>Acceptable</v>
      </c>
    </row>
    <row r="742" ht="15.75" customHeight="1">
      <c r="A742" s="1" t="s">
        <v>90</v>
      </c>
      <c r="B742" s="1" t="s">
        <v>69</v>
      </c>
      <c r="C742" s="1" t="s">
        <v>25</v>
      </c>
      <c r="D742" s="1">
        <v>832.0</v>
      </c>
      <c r="E742" s="1">
        <v>772.0</v>
      </c>
      <c r="F742" s="1">
        <f t="shared" si="2"/>
        <v>-60</v>
      </c>
      <c r="G742" s="1">
        <f t="shared" si="3"/>
        <v>60</v>
      </c>
      <c r="H742" s="6">
        <f t="shared" si="4"/>
        <v>0.07211538462</v>
      </c>
      <c r="I742" s="6">
        <f t="shared" si="5"/>
        <v>0.9278846154</v>
      </c>
      <c r="J742" s="1">
        <f t="shared" si="6"/>
        <v>-60</v>
      </c>
      <c r="K742" s="1" t="str">
        <f t="shared" si="7"/>
        <v>Under Forecast</v>
      </c>
      <c r="L742" s="1">
        <f>F742</f>
        <v>-60</v>
      </c>
      <c r="M742" s="7">
        <f t="shared" si="10"/>
        <v>69.09986505</v>
      </c>
      <c r="N742" s="7">
        <f t="shared" si="8"/>
        <v>-0.8683084975</v>
      </c>
      <c r="O742" s="2" t="str">
        <f t="shared" si="9"/>
        <v>Acceptable</v>
      </c>
    </row>
    <row r="743" ht="15.75" customHeight="1">
      <c r="A743" s="1" t="s">
        <v>90</v>
      </c>
      <c r="B743" s="1" t="s">
        <v>69</v>
      </c>
      <c r="C743" s="1" t="s">
        <v>26</v>
      </c>
      <c r="D743" s="1">
        <v>880.0</v>
      </c>
      <c r="E743" s="1">
        <v>886.0</v>
      </c>
      <c r="F743" s="1">
        <f t="shared" si="2"/>
        <v>6</v>
      </c>
      <c r="G743" s="1">
        <f t="shared" si="3"/>
        <v>6</v>
      </c>
      <c r="H743" s="6">
        <f t="shared" si="4"/>
        <v>0.006818181818</v>
      </c>
      <c r="I743" s="6">
        <f t="shared" si="5"/>
        <v>0.9931818182</v>
      </c>
      <c r="J743" s="1">
        <f t="shared" si="6"/>
        <v>6</v>
      </c>
      <c r="K743" s="1" t="str">
        <f t="shared" si="7"/>
        <v>Over Forecast</v>
      </c>
      <c r="L743" s="1">
        <f>F743+J742</f>
        <v>-54</v>
      </c>
      <c r="M743" s="7">
        <f t="shared" si="10"/>
        <v>69.0148248</v>
      </c>
      <c r="N743" s="7">
        <f t="shared" si="8"/>
        <v>-0.7824405866</v>
      </c>
      <c r="O743" s="2" t="str">
        <f t="shared" si="9"/>
        <v>Acceptable</v>
      </c>
    </row>
    <row r="744" ht="15.75" customHeight="1">
      <c r="A744" s="1" t="s">
        <v>90</v>
      </c>
      <c r="B744" s="1" t="s">
        <v>69</v>
      </c>
      <c r="C744" s="1" t="s">
        <v>27</v>
      </c>
      <c r="D744" s="1">
        <v>920.0</v>
      </c>
      <c r="E744" s="1">
        <v>771.0</v>
      </c>
      <c r="F744" s="1">
        <f t="shared" si="2"/>
        <v>-149</v>
      </c>
      <c r="G744" s="1">
        <f t="shared" si="3"/>
        <v>149</v>
      </c>
      <c r="H744" s="6">
        <f t="shared" si="4"/>
        <v>0.1619565217</v>
      </c>
      <c r="I744" s="6">
        <f t="shared" si="5"/>
        <v>0.8380434783</v>
      </c>
      <c r="J744" s="1">
        <f t="shared" si="6"/>
        <v>-149</v>
      </c>
      <c r="K744" s="1" t="str">
        <f t="shared" si="7"/>
        <v>Under Forecast</v>
      </c>
      <c r="L744" s="1">
        <f>F744</f>
        <v>-149</v>
      </c>
      <c r="M744" s="7">
        <f t="shared" si="10"/>
        <v>69.12247645</v>
      </c>
      <c r="N744" s="7">
        <f t="shared" si="8"/>
        <v>-2.155594065</v>
      </c>
      <c r="O744" s="2" t="str">
        <f t="shared" si="9"/>
        <v>Acceptable</v>
      </c>
    </row>
    <row r="745" ht="15.75" customHeight="1">
      <c r="A745" s="1" t="s">
        <v>90</v>
      </c>
      <c r="B745" s="1" t="s">
        <v>69</v>
      </c>
      <c r="C745" s="1" t="s">
        <v>28</v>
      </c>
      <c r="D745" s="1">
        <v>757.0</v>
      </c>
      <c r="E745" s="1">
        <v>770.0</v>
      </c>
      <c r="F745" s="1">
        <f t="shared" si="2"/>
        <v>13</v>
      </c>
      <c r="G745" s="1">
        <f t="shared" si="3"/>
        <v>13</v>
      </c>
      <c r="H745" s="6">
        <f t="shared" si="4"/>
        <v>0.01717305152</v>
      </c>
      <c r="I745" s="6">
        <f t="shared" si="5"/>
        <v>0.9828269485</v>
      </c>
      <c r="J745" s="1">
        <f t="shared" si="6"/>
        <v>13</v>
      </c>
      <c r="K745" s="1" t="str">
        <f t="shared" si="7"/>
        <v>Over Forecast</v>
      </c>
      <c r="L745" s="1">
        <f>F745+J744</f>
        <v>-136</v>
      </c>
      <c r="M745" s="7">
        <f t="shared" si="10"/>
        <v>69.04704301</v>
      </c>
      <c r="N745" s="7">
        <f t="shared" si="8"/>
        <v>-1.969671605</v>
      </c>
      <c r="O745" s="2" t="str">
        <f t="shared" si="9"/>
        <v>Acceptable</v>
      </c>
    </row>
    <row r="746" ht="15.75" customHeight="1">
      <c r="A746" s="1" t="s">
        <v>91</v>
      </c>
      <c r="B746" s="1" t="s">
        <v>69</v>
      </c>
      <c r="C746" s="1" t="s">
        <v>17</v>
      </c>
      <c r="D746" s="1">
        <v>350.0</v>
      </c>
      <c r="E746" s="1">
        <v>335.0</v>
      </c>
      <c r="F746" s="1">
        <f t="shared" si="2"/>
        <v>-15</v>
      </c>
      <c r="G746" s="1">
        <f t="shared" si="3"/>
        <v>15</v>
      </c>
      <c r="H746" s="6">
        <f t="shared" si="4"/>
        <v>0.04285714286</v>
      </c>
      <c r="I746" s="6">
        <f t="shared" si="5"/>
        <v>0.9571428571</v>
      </c>
      <c r="J746" s="1">
        <f t="shared" si="6"/>
        <v>-15</v>
      </c>
      <c r="K746" s="1" t="str">
        <f t="shared" si="7"/>
        <v>Under Forecast</v>
      </c>
      <c r="L746" s="1">
        <f>F746</f>
        <v>-15</v>
      </c>
      <c r="M746" s="7">
        <f t="shared" si="10"/>
        <v>68.97449664</v>
      </c>
      <c r="N746" s="7">
        <f t="shared" si="8"/>
        <v>-0.2174716849</v>
      </c>
      <c r="O746" s="2" t="str">
        <f t="shared" si="9"/>
        <v>Acceptable</v>
      </c>
    </row>
    <row r="747" ht="15.75" customHeight="1">
      <c r="A747" s="1" t="s">
        <v>91</v>
      </c>
      <c r="B747" s="1" t="s">
        <v>69</v>
      </c>
      <c r="C747" s="1" t="s">
        <v>18</v>
      </c>
      <c r="D747" s="1">
        <v>362.0</v>
      </c>
      <c r="E747" s="1">
        <v>383.0</v>
      </c>
      <c r="F747" s="1">
        <f t="shared" si="2"/>
        <v>21</v>
      </c>
      <c r="G747" s="1">
        <f t="shared" si="3"/>
        <v>21</v>
      </c>
      <c r="H747" s="6">
        <f t="shared" si="4"/>
        <v>0.05801104972</v>
      </c>
      <c r="I747" s="6">
        <f t="shared" si="5"/>
        <v>0.9419889503</v>
      </c>
      <c r="J747" s="1">
        <f t="shared" si="6"/>
        <v>21</v>
      </c>
      <c r="K747" s="1" t="str">
        <f t="shared" si="7"/>
        <v>Over Forecast</v>
      </c>
      <c r="L747" s="1">
        <f>F747+J746</f>
        <v>6</v>
      </c>
      <c r="M747" s="7">
        <f t="shared" si="10"/>
        <v>68.91018767</v>
      </c>
      <c r="N747" s="7">
        <f t="shared" si="8"/>
        <v>0.0870698543</v>
      </c>
      <c r="O747" s="2" t="str">
        <f t="shared" si="9"/>
        <v>Acceptable</v>
      </c>
    </row>
    <row r="748" ht="15.75" customHeight="1">
      <c r="A748" s="1" t="s">
        <v>91</v>
      </c>
      <c r="B748" s="1" t="s">
        <v>69</v>
      </c>
      <c r="C748" s="1" t="s">
        <v>19</v>
      </c>
      <c r="D748" s="1">
        <v>368.0</v>
      </c>
      <c r="E748" s="1">
        <v>364.0</v>
      </c>
      <c r="F748" s="1">
        <f t="shared" si="2"/>
        <v>-4</v>
      </c>
      <c r="G748" s="1">
        <f t="shared" si="3"/>
        <v>4</v>
      </c>
      <c r="H748" s="6">
        <f t="shared" si="4"/>
        <v>0.01086956522</v>
      </c>
      <c r="I748" s="6">
        <f t="shared" si="5"/>
        <v>0.9891304348</v>
      </c>
      <c r="J748" s="1">
        <f t="shared" si="6"/>
        <v>-4</v>
      </c>
      <c r="K748" s="1" t="str">
        <f t="shared" si="7"/>
        <v>Under Forecast</v>
      </c>
      <c r="L748" s="1">
        <f>F748</f>
        <v>-4</v>
      </c>
      <c r="M748" s="7">
        <f t="shared" si="10"/>
        <v>68.82329317</v>
      </c>
      <c r="N748" s="7">
        <f t="shared" si="8"/>
        <v>-0.05811985762</v>
      </c>
      <c r="O748" s="2" t="str">
        <f t="shared" si="9"/>
        <v>Acceptable</v>
      </c>
    </row>
    <row r="749" ht="15.75" customHeight="1">
      <c r="A749" s="1" t="s">
        <v>91</v>
      </c>
      <c r="B749" s="1" t="s">
        <v>69</v>
      </c>
      <c r="C749" s="1" t="s">
        <v>20</v>
      </c>
      <c r="D749" s="1">
        <v>384.0</v>
      </c>
      <c r="E749" s="1">
        <v>409.0</v>
      </c>
      <c r="F749" s="1">
        <f t="shared" si="2"/>
        <v>25</v>
      </c>
      <c r="G749" s="1">
        <f t="shared" si="3"/>
        <v>25</v>
      </c>
      <c r="H749" s="6">
        <f t="shared" si="4"/>
        <v>0.06510416667</v>
      </c>
      <c r="I749" s="6">
        <f t="shared" si="5"/>
        <v>0.9348958333</v>
      </c>
      <c r="J749" s="1">
        <f t="shared" si="6"/>
        <v>25</v>
      </c>
      <c r="K749" s="1" t="str">
        <f t="shared" si="7"/>
        <v>Over Forecast</v>
      </c>
      <c r="L749" s="1">
        <f>F749+J748</f>
        <v>21</v>
      </c>
      <c r="M749" s="7">
        <f t="shared" si="10"/>
        <v>68.76470588</v>
      </c>
      <c r="N749" s="7">
        <f t="shared" si="8"/>
        <v>0.3053892216</v>
      </c>
      <c r="O749" s="2" t="str">
        <f t="shared" si="9"/>
        <v>Acceptable</v>
      </c>
    </row>
    <row r="750" ht="15.75" customHeight="1">
      <c r="A750" s="1" t="s">
        <v>91</v>
      </c>
      <c r="B750" s="1" t="s">
        <v>69</v>
      </c>
      <c r="C750" s="1" t="s">
        <v>21</v>
      </c>
      <c r="D750" s="1">
        <v>414.0</v>
      </c>
      <c r="E750" s="1">
        <v>467.0</v>
      </c>
      <c r="F750" s="1">
        <f t="shared" si="2"/>
        <v>53</v>
      </c>
      <c r="G750" s="1">
        <f t="shared" si="3"/>
        <v>53</v>
      </c>
      <c r="H750" s="6">
        <f t="shared" si="4"/>
        <v>0.1280193237</v>
      </c>
      <c r="I750" s="6">
        <f t="shared" si="5"/>
        <v>0.8719806763</v>
      </c>
      <c r="J750" s="1">
        <f t="shared" si="6"/>
        <v>53</v>
      </c>
      <c r="K750" s="1" t="str">
        <f t="shared" si="7"/>
        <v>Over Forecast</v>
      </c>
      <c r="L750" s="1">
        <f>F750</f>
        <v>53</v>
      </c>
      <c r="M750" s="7">
        <f t="shared" si="10"/>
        <v>68.74365821</v>
      </c>
      <c r="N750" s="7">
        <f t="shared" si="8"/>
        <v>0.7709802094</v>
      </c>
      <c r="O750" s="2" t="str">
        <f t="shared" si="9"/>
        <v>Acceptable</v>
      </c>
    </row>
    <row r="751" ht="15.75" customHeight="1">
      <c r="A751" s="1" t="s">
        <v>91</v>
      </c>
      <c r="B751" s="1" t="s">
        <v>69</v>
      </c>
      <c r="C751" s="1" t="s">
        <v>22</v>
      </c>
      <c r="D751" s="1">
        <v>452.0</v>
      </c>
      <c r="E751" s="1">
        <v>407.0</v>
      </c>
      <c r="F751" s="1">
        <f t="shared" si="2"/>
        <v>-45</v>
      </c>
      <c r="G751" s="1">
        <f t="shared" si="3"/>
        <v>45</v>
      </c>
      <c r="H751" s="6">
        <f t="shared" si="4"/>
        <v>0.09955752212</v>
      </c>
      <c r="I751" s="6">
        <f t="shared" si="5"/>
        <v>0.9004424779</v>
      </c>
      <c r="J751" s="1">
        <f t="shared" si="6"/>
        <v>-45</v>
      </c>
      <c r="K751" s="1" t="str">
        <f t="shared" si="7"/>
        <v>Under Forecast</v>
      </c>
      <c r="L751" s="1">
        <f>F751+J750</f>
        <v>8</v>
      </c>
      <c r="M751" s="7">
        <f t="shared" si="10"/>
        <v>68.712</v>
      </c>
      <c r="N751" s="7">
        <f t="shared" si="8"/>
        <v>0.1164279893</v>
      </c>
      <c r="O751" s="2" t="str">
        <f t="shared" si="9"/>
        <v>Acceptable</v>
      </c>
    </row>
    <row r="752" ht="15.75" customHeight="1">
      <c r="A752" s="1" t="s">
        <v>91</v>
      </c>
      <c r="B752" s="1" t="s">
        <v>69</v>
      </c>
      <c r="C752" s="1" t="s">
        <v>23</v>
      </c>
      <c r="D752" s="1">
        <v>470.0</v>
      </c>
      <c r="E752" s="1">
        <v>451.0</v>
      </c>
      <c r="F752" s="1">
        <f t="shared" si="2"/>
        <v>-19</v>
      </c>
      <c r="G752" s="1">
        <f t="shared" si="3"/>
        <v>19</v>
      </c>
      <c r="H752" s="6">
        <f t="shared" si="4"/>
        <v>0.04042553191</v>
      </c>
      <c r="I752" s="6">
        <f t="shared" si="5"/>
        <v>0.9595744681</v>
      </c>
      <c r="J752" s="1">
        <f t="shared" si="6"/>
        <v>-19</v>
      </c>
      <c r="K752" s="1" t="str">
        <f t="shared" si="7"/>
        <v>Under Forecast</v>
      </c>
      <c r="L752" s="1">
        <f>F752</f>
        <v>-19</v>
      </c>
      <c r="M752" s="7">
        <f t="shared" si="10"/>
        <v>68.64580559</v>
      </c>
      <c r="N752" s="7">
        <f t="shared" si="8"/>
        <v>-0.2767831164</v>
      </c>
      <c r="O752" s="2" t="str">
        <f t="shared" si="9"/>
        <v>Acceptable</v>
      </c>
    </row>
    <row r="753" ht="15.75" customHeight="1">
      <c r="A753" s="1" t="s">
        <v>91</v>
      </c>
      <c r="B753" s="1" t="s">
        <v>69</v>
      </c>
      <c r="C753" s="1" t="s">
        <v>24</v>
      </c>
      <c r="D753" s="1">
        <v>461.0</v>
      </c>
      <c r="E753" s="1">
        <v>499.0</v>
      </c>
      <c r="F753" s="1">
        <f t="shared" si="2"/>
        <v>38</v>
      </c>
      <c r="G753" s="1">
        <f t="shared" si="3"/>
        <v>38</v>
      </c>
      <c r="H753" s="6">
        <f t="shared" si="4"/>
        <v>0.08242950108</v>
      </c>
      <c r="I753" s="6">
        <f t="shared" si="5"/>
        <v>0.9175704989</v>
      </c>
      <c r="J753" s="1">
        <f t="shared" si="6"/>
        <v>38</v>
      </c>
      <c r="K753" s="1" t="str">
        <f t="shared" si="7"/>
        <v>Over Forecast</v>
      </c>
      <c r="L753" s="1">
        <f>F753+J752</f>
        <v>19</v>
      </c>
      <c r="M753" s="7">
        <f t="shared" si="10"/>
        <v>68.60505319</v>
      </c>
      <c r="N753" s="7">
        <f t="shared" si="8"/>
        <v>0.2769475296</v>
      </c>
      <c r="O753" s="2" t="str">
        <f t="shared" si="9"/>
        <v>Acceptable</v>
      </c>
    </row>
    <row r="754" ht="15.75" customHeight="1">
      <c r="A754" s="1" t="s">
        <v>91</v>
      </c>
      <c r="B754" s="1" t="s">
        <v>69</v>
      </c>
      <c r="C754" s="1" t="s">
        <v>25</v>
      </c>
      <c r="D754" s="1">
        <v>415.0</v>
      </c>
      <c r="E754" s="1">
        <v>422.0</v>
      </c>
      <c r="F754" s="1">
        <f t="shared" si="2"/>
        <v>7</v>
      </c>
      <c r="G754" s="1">
        <f t="shared" si="3"/>
        <v>7</v>
      </c>
      <c r="H754" s="6">
        <f t="shared" si="4"/>
        <v>0.01686746988</v>
      </c>
      <c r="I754" s="6">
        <f t="shared" si="5"/>
        <v>0.9831325301</v>
      </c>
      <c r="J754" s="1">
        <f t="shared" si="6"/>
        <v>7</v>
      </c>
      <c r="K754" s="1" t="str">
        <f t="shared" si="7"/>
        <v>Over Forecast</v>
      </c>
      <c r="L754" s="1">
        <f>F754</f>
        <v>7</v>
      </c>
      <c r="M754" s="7">
        <f t="shared" si="10"/>
        <v>68.52324037</v>
      </c>
      <c r="N754" s="7">
        <f t="shared" si="8"/>
        <v>0.1021551223</v>
      </c>
      <c r="O754" s="2" t="str">
        <f t="shared" si="9"/>
        <v>Acceptable</v>
      </c>
    </row>
    <row r="755" ht="15.75" customHeight="1">
      <c r="A755" s="1" t="s">
        <v>91</v>
      </c>
      <c r="B755" s="1" t="s">
        <v>69</v>
      </c>
      <c r="C755" s="1" t="s">
        <v>26</v>
      </c>
      <c r="D755" s="1">
        <v>414.0</v>
      </c>
      <c r="E755" s="1">
        <v>370.0</v>
      </c>
      <c r="F755" s="1">
        <f t="shared" si="2"/>
        <v>-44</v>
      </c>
      <c r="G755" s="1">
        <f t="shared" si="3"/>
        <v>44</v>
      </c>
      <c r="H755" s="6">
        <f t="shared" si="4"/>
        <v>0.1062801932</v>
      </c>
      <c r="I755" s="6">
        <f t="shared" si="5"/>
        <v>0.8937198068</v>
      </c>
      <c r="J755" s="1">
        <f t="shared" si="6"/>
        <v>-44</v>
      </c>
      <c r="K755" s="1" t="str">
        <f t="shared" si="7"/>
        <v>Under Forecast</v>
      </c>
      <c r="L755" s="1">
        <f>F755+J754</f>
        <v>-37</v>
      </c>
      <c r="M755" s="7">
        <f t="shared" si="10"/>
        <v>68.49071618</v>
      </c>
      <c r="N755" s="7">
        <f t="shared" si="8"/>
        <v>-0.5402192014</v>
      </c>
      <c r="O755" s="2" t="str">
        <f t="shared" si="9"/>
        <v>Acceptable</v>
      </c>
    </row>
    <row r="756" ht="15.75" customHeight="1">
      <c r="A756" s="1" t="s">
        <v>91</v>
      </c>
      <c r="B756" s="1" t="s">
        <v>69</v>
      </c>
      <c r="C756" s="1" t="s">
        <v>27</v>
      </c>
      <c r="D756" s="1">
        <v>433.0</v>
      </c>
      <c r="E756" s="1">
        <v>428.0</v>
      </c>
      <c r="F756" s="1">
        <f t="shared" si="2"/>
        <v>-5</v>
      </c>
      <c r="G756" s="1">
        <f t="shared" si="3"/>
        <v>5</v>
      </c>
      <c r="H756" s="6">
        <f t="shared" si="4"/>
        <v>0.01154734411</v>
      </c>
      <c r="I756" s="6">
        <f t="shared" si="5"/>
        <v>0.9884526559</v>
      </c>
      <c r="J756" s="1">
        <f t="shared" si="6"/>
        <v>-5</v>
      </c>
      <c r="K756" s="1" t="str">
        <f t="shared" si="7"/>
        <v>Under Forecast</v>
      </c>
      <c r="L756" s="1">
        <f>F756</f>
        <v>-5</v>
      </c>
      <c r="M756" s="7">
        <f t="shared" si="10"/>
        <v>68.40662252</v>
      </c>
      <c r="N756" s="7">
        <f t="shared" si="8"/>
        <v>-0.07309233837</v>
      </c>
      <c r="O756" s="2" t="str">
        <f t="shared" si="9"/>
        <v>Acceptable</v>
      </c>
    </row>
    <row r="757" ht="15.75" customHeight="1">
      <c r="A757" s="1" t="s">
        <v>91</v>
      </c>
      <c r="B757" s="1" t="s">
        <v>69</v>
      </c>
      <c r="C757" s="1" t="s">
        <v>28</v>
      </c>
      <c r="D757" s="1">
        <v>485.0</v>
      </c>
      <c r="E757" s="1">
        <v>491.0</v>
      </c>
      <c r="F757" s="1">
        <f t="shared" si="2"/>
        <v>6</v>
      </c>
      <c r="G757" s="1">
        <f t="shared" si="3"/>
        <v>6</v>
      </c>
      <c r="H757" s="6">
        <f t="shared" si="4"/>
        <v>0.01237113402</v>
      </c>
      <c r="I757" s="6">
        <f t="shared" si="5"/>
        <v>0.987628866</v>
      </c>
      <c r="J757" s="1">
        <f t="shared" si="6"/>
        <v>6</v>
      </c>
      <c r="K757" s="1" t="str">
        <f t="shared" si="7"/>
        <v>Over Forecast</v>
      </c>
      <c r="L757" s="1">
        <f>F757+J756</f>
        <v>1</v>
      </c>
      <c r="M757" s="7">
        <f t="shared" si="10"/>
        <v>68.32407407</v>
      </c>
      <c r="N757" s="7">
        <f t="shared" si="8"/>
        <v>0.01463612956</v>
      </c>
      <c r="O757" s="2" t="str">
        <f t="shared" si="9"/>
        <v>Acceptable</v>
      </c>
    </row>
    <row r="758" ht="15.75" customHeight="1">
      <c r="A758" s="1" t="s">
        <v>92</v>
      </c>
      <c r="B758" s="1" t="s">
        <v>69</v>
      </c>
      <c r="C758" s="1" t="s">
        <v>17</v>
      </c>
      <c r="D758" s="1">
        <v>396.0</v>
      </c>
      <c r="E758" s="1">
        <v>450.0</v>
      </c>
      <c r="F758" s="1">
        <f t="shared" si="2"/>
        <v>54</v>
      </c>
      <c r="G758" s="1">
        <f t="shared" si="3"/>
        <v>54</v>
      </c>
      <c r="H758" s="6">
        <f t="shared" si="4"/>
        <v>0.1363636364</v>
      </c>
      <c r="I758" s="6">
        <f t="shared" si="5"/>
        <v>0.8636363636</v>
      </c>
      <c r="J758" s="1">
        <f t="shared" si="6"/>
        <v>54</v>
      </c>
      <c r="K758" s="1" t="str">
        <f t="shared" si="7"/>
        <v>Over Forecast</v>
      </c>
      <c r="L758" s="1">
        <f>F758</f>
        <v>54</v>
      </c>
      <c r="M758" s="7">
        <f t="shared" si="10"/>
        <v>68.30515192</v>
      </c>
      <c r="N758" s="7">
        <f t="shared" si="8"/>
        <v>0.7905699422</v>
      </c>
      <c r="O758" s="2" t="str">
        <f t="shared" si="9"/>
        <v>Acceptable</v>
      </c>
    </row>
    <row r="759" ht="15.75" customHeight="1">
      <c r="A759" s="1" t="s">
        <v>92</v>
      </c>
      <c r="B759" s="1" t="s">
        <v>69</v>
      </c>
      <c r="C759" s="1" t="s">
        <v>18</v>
      </c>
      <c r="D759" s="1">
        <v>374.0</v>
      </c>
      <c r="E759" s="1">
        <v>395.0</v>
      </c>
      <c r="F759" s="1">
        <f t="shared" si="2"/>
        <v>21</v>
      </c>
      <c r="G759" s="1">
        <f t="shared" si="3"/>
        <v>21</v>
      </c>
      <c r="H759" s="6">
        <f t="shared" si="4"/>
        <v>0.05614973262</v>
      </c>
      <c r="I759" s="6">
        <f t="shared" si="5"/>
        <v>0.9438502674</v>
      </c>
      <c r="J759" s="1">
        <f t="shared" si="6"/>
        <v>21</v>
      </c>
      <c r="K759" s="1" t="str">
        <f t="shared" si="7"/>
        <v>Over Forecast</v>
      </c>
      <c r="L759" s="1">
        <f>F759+J758</f>
        <v>75</v>
      </c>
      <c r="M759" s="7">
        <f t="shared" si="10"/>
        <v>68.24274406</v>
      </c>
      <c r="N759" s="7">
        <f t="shared" si="8"/>
        <v>1.09901794</v>
      </c>
      <c r="O759" s="2" t="str">
        <f t="shared" si="9"/>
        <v>Acceptable</v>
      </c>
    </row>
    <row r="760" ht="15.75" customHeight="1">
      <c r="A760" s="1" t="s">
        <v>92</v>
      </c>
      <c r="B760" s="1" t="s">
        <v>69</v>
      </c>
      <c r="C760" s="1" t="s">
        <v>19</v>
      </c>
      <c r="D760" s="1">
        <v>388.0</v>
      </c>
      <c r="E760" s="1">
        <v>392.0</v>
      </c>
      <c r="F760" s="1">
        <f t="shared" si="2"/>
        <v>4</v>
      </c>
      <c r="G760" s="1">
        <f t="shared" si="3"/>
        <v>4</v>
      </c>
      <c r="H760" s="6">
        <f t="shared" si="4"/>
        <v>0.01030927835</v>
      </c>
      <c r="I760" s="6">
        <f t="shared" si="5"/>
        <v>0.9896907216</v>
      </c>
      <c r="J760" s="1">
        <f t="shared" si="6"/>
        <v>4</v>
      </c>
      <c r="K760" s="1" t="str">
        <f t="shared" si="7"/>
        <v>Over Forecast</v>
      </c>
      <c r="L760" s="1">
        <f>F760</f>
        <v>4</v>
      </c>
      <c r="M760" s="7">
        <f t="shared" si="10"/>
        <v>68.15810277</v>
      </c>
      <c r="N760" s="7">
        <f t="shared" si="8"/>
        <v>0.05868707956</v>
      </c>
      <c r="O760" s="2" t="str">
        <f t="shared" si="9"/>
        <v>Acceptable</v>
      </c>
    </row>
    <row r="761" ht="15.75" customHeight="1">
      <c r="A761" s="1" t="s">
        <v>92</v>
      </c>
      <c r="B761" s="1" t="s">
        <v>69</v>
      </c>
      <c r="C761" s="1" t="s">
        <v>20</v>
      </c>
      <c r="D761" s="1">
        <v>388.0</v>
      </c>
      <c r="E761" s="1">
        <v>382.0</v>
      </c>
      <c r="F761" s="1">
        <f t="shared" si="2"/>
        <v>-6</v>
      </c>
      <c r="G761" s="1">
        <f t="shared" si="3"/>
        <v>6</v>
      </c>
      <c r="H761" s="6">
        <f t="shared" si="4"/>
        <v>0.01546391753</v>
      </c>
      <c r="I761" s="6">
        <f t="shared" si="5"/>
        <v>0.9845360825</v>
      </c>
      <c r="J761" s="1">
        <f t="shared" si="6"/>
        <v>-6</v>
      </c>
      <c r="K761" s="1" t="str">
        <f t="shared" si="7"/>
        <v>Under Forecast</v>
      </c>
      <c r="L761" s="1">
        <f>F761+J760</f>
        <v>-2</v>
      </c>
      <c r="M761" s="7">
        <f t="shared" si="10"/>
        <v>68.07631579</v>
      </c>
      <c r="N761" s="7">
        <f t="shared" si="8"/>
        <v>-0.02937879315</v>
      </c>
      <c r="O761" s="2" t="str">
        <f t="shared" si="9"/>
        <v>Acceptable</v>
      </c>
    </row>
    <row r="762" ht="15.75" customHeight="1">
      <c r="A762" s="1" t="s">
        <v>92</v>
      </c>
      <c r="B762" s="1" t="s">
        <v>69</v>
      </c>
      <c r="C762" s="1" t="s">
        <v>21</v>
      </c>
      <c r="D762" s="1">
        <v>453.0</v>
      </c>
      <c r="E762" s="1">
        <v>432.0</v>
      </c>
      <c r="F762" s="1">
        <f t="shared" si="2"/>
        <v>-21</v>
      </c>
      <c r="G762" s="1">
        <f t="shared" si="3"/>
        <v>21</v>
      </c>
      <c r="H762" s="6">
        <f t="shared" si="4"/>
        <v>0.04635761589</v>
      </c>
      <c r="I762" s="6">
        <f t="shared" si="5"/>
        <v>0.9536423841</v>
      </c>
      <c r="J762" s="1">
        <f t="shared" si="6"/>
        <v>-21</v>
      </c>
      <c r="K762" s="1" t="str">
        <f t="shared" si="7"/>
        <v>Under Forecast</v>
      </c>
      <c r="L762" s="1">
        <f>F762</f>
        <v>-21</v>
      </c>
      <c r="M762" s="7">
        <f t="shared" si="10"/>
        <v>68.01445466</v>
      </c>
      <c r="N762" s="7">
        <f t="shared" si="8"/>
        <v>-0.3087578972</v>
      </c>
      <c r="O762" s="2" t="str">
        <f t="shared" si="9"/>
        <v>Acceptable</v>
      </c>
    </row>
    <row r="763" ht="15.75" customHeight="1">
      <c r="A763" s="1" t="s">
        <v>92</v>
      </c>
      <c r="B763" s="1" t="s">
        <v>69</v>
      </c>
      <c r="C763" s="1" t="s">
        <v>22</v>
      </c>
      <c r="D763" s="1">
        <v>450.0</v>
      </c>
      <c r="E763" s="1">
        <v>489.0</v>
      </c>
      <c r="F763" s="1">
        <f t="shared" si="2"/>
        <v>39</v>
      </c>
      <c r="G763" s="1">
        <f t="shared" si="3"/>
        <v>39</v>
      </c>
      <c r="H763" s="6">
        <f t="shared" si="4"/>
        <v>0.08666666667</v>
      </c>
      <c r="I763" s="6">
        <f t="shared" si="5"/>
        <v>0.9133333333</v>
      </c>
      <c r="J763" s="1">
        <f t="shared" si="6"/>
        <v>39</v>
      </c>
      <c r="K763" s="1" t="str">
        <f t="shared" si="7"/>
        <v>Over Forecast</v>
      </c>
      <c r="L763" s="1">
        <f>F763+J762</f>
        <v>18</v>
      </c>
      <c r="M763" s="7">
        <f t="shared" si="10"/>
        <v>67.97637795</v>
      </c>
      <c r="N763" s="7">
        <f t="shared" si="8"/>
        <v>0.2647978686</v>
      </c>
      <c r="O763" s="2" t="str">
        <f t="shared" si="9"/>
        <v>Acceptable</v>
      </c>
    </row>
    <row r="764" ht="15.75" customHeight="1">
      <c r="A764" s="1" t="s">
        <v>92</v>
      </c>
      <c r="B764" s="1" t="s">
        <v>69</v>
      </c>
      <c r="C764" s="1" t="s">
        <v>23</v>
      </c>
      <c r="D764" s="1">
        <v>478.0</v>
      </c>
      <c r="E764" s="1">
        <v>439.0</v>
      </c>
      <c r="F764" s="1">
        <f t="shared" si="2"/>
        <v>-39</v>
      </c>
      <c r="G764" s="1">
        <f t="shared" si="3"/>
        <v>39</v>
      </c>
      <c r="H764" s="6">
        <f t="shared" si="4"/>
        <v>0.08158995816</v>
      </c>
      <c r="I764" s="6">
        <f t="shared" si="5"/>
        <v>0.9184100418</v>
      </c>
      <c r="J764" s="1">
        <f t="shared" si="6"/>
        <v>-39</v>
      </c>
      <c r="K764" s="1" t="str">
        <f t="shared" si="7"/>
        <v>Under Forecast</v>
      </c>
      <c r="L764" s="1">
        <f>F764</f>
        <v>-39</v>
      </c>
      <c r="M764" s="7">
        <f t="shared" si="10"/>
        <v>67.93840105</v>
      </c>
      <c r="N764" s="7">
        <f t="shared" si="8"/>
        <v>-0.5740494242</v>
      </c>
      <c r="O764" s="2" t="str">
        <f t="shared" si="9"/>
        <v>Acceptable</v>
      </c>
    </row>
    <row r="765" ht="15.75" customHeight="1">
      <c r="A765" s="1" t="s">
        <v>92</v>
      </c>
      <c r="B765" s="1" t="s">
        <v>69</v>
      </c>
      <c r="C765" s="1" t="s">
        <v>24</v>
      </c>
      <c r="D765" s="1">
        <v>413.0</v>
      </c>
      <c r="E765" s="1">
        <v>369.0</v>
      </c>
      <c r="F765" s="1">
        <f t="shared" si="2"/>
        <v>-44</v>
      </c>
      <c r="G765" s="1">
        <f t="shared" si="3"/>
        <v>44</v>
      </c>
      <c r="H765" s="6">
        <f t="shared" si="4"/>
        <v>0.1065375303</v>
      </c>
      <c r="I765" s="6">
        <f t="shared" si="5"/>
        <v>0.8934624697</v>
      </c>
      <c r="J765" s="1">
        <f t="shared" si="6"/>
        <v>-44</v>
      </c>
      <c r="K765" s="1" t="str">
        <f t="shared" si="7"/>
        <v>Under Forecast</v>
      </c>
      <c r="L765" s="1">
        <f>F765+J764</f>
        <v>-83</v>
      </c>
      <c r="M765" s="7">
        <f t="shared" si="10"/>
        <v>67.90706806</v>
      </c>
      <c r="N765" s="7">
        <f t="shared" si="8"/>
        <v>-1.22225863</v>
      </c>
      <c r="O765" s="2" t="str">
        <f t="shared" si="9"/>
        <v>Acceptable</v>
      </c>
    </row>
    <row r="766" ht="15.75" customHeight="1">
      <c r="A766" s="1" t="s">
        <v>92</v>
      </c>
      <c r="B766" s="1" t="s">
        <v>69</v>
      </c>
      <c r="C766" s="1" t="s">
        <v>25</v>
      </c>
      <c r="D766" s="1">
        <v>434.0</v>
      </c>
      <c r="E766" s="1">
        <v>489.0</v>
      </c>
      <c r="F766" s="1">
        <f t="shared" si="2"/>
        <v>55</v>
      </c>
      <c r="G766" s="1">
        <f t="shared" si="3"/>
        <v>55</v>
      </c>
      <c r="H766" s="6">
        <f t="shared" si="4"/>
        <v>0.1267281106</v>
      </c>
      <c r="I766" s="6">
        <f t="shared" si="5"/>
        <v>0.8732718894</v>
      </c>
      <c r="J766" s="1">
        <f t="shared" si="6"/>
        <v>55</v>
      </c>
      <c r="K766" s="1" t="str">
        <f t="shared" si="7"/>
        <v>Over Forecast</v>
      </c>
      <c r="L766" s="1">
        <f>F766</f>
        <v>55</v>
      </c>
      <c r="M766" s="7">
        <f t="shared" si="10"/>
        <v>67.89019608</v>
      </c>
      <c r="N766" s="7">
        <f t="shared" si="8"/>
        <v>0.8101317006</v>
      </c>
      <c r="O766" s="2" t="str">
        <f t="shared" si="9"/>
        <v>Acceptable</v>
      </c>
    </row>
    <row r="767" ht="15.75" customHeight="1">
      <c r="A767" s="1" t="s">
        <v>92</v>
      </c>
      <c r="B767" s="1" t="s">
        <v>69</v>
      </c>
      <c r="C767" s="1" t="s">
        <v>26</v>
      </c>
      <c r="D767" s="1">
        <v>387.0</v>
      </c>
      <c r="E767" s="1">
        <v>426.0</v>
      </c>
      <c r="F767" s="1">
        <f t="shared" si="2"/>
        <v>39</v>
      </c>
      <c r="G767" s="1">
        <f t="shared" si="3"/>
        <v>39</v>
      </c>
      <c r="H767" s="6">
        <f t="shared" si="4"/>
        <v>0.1007751938</v>
      </c>
      <c r="I767" s="6">
        <f t="shared" si="5"/>
        <v>0.8992248062</v>
      </c>
      <c r="J767" s="1">
        <f t="shared" si="6"/>
        <v>39</v>
      </c>
      <c r="K767" s="1" t="str">
        <f t="shared" si="7"/>
        <v>Over Forecast</v>
      </c>
      <c r="L767" s="1">
        <f>F767+J766</f>
        <v>94</v>
      </c>
      <c r="M767" s="7">
        <f t="shared" si="10"/>
        <v>67.85248042</v>
      </c>
      <c r="N767" s="7">
        <f t="shared" si="8"/>
        <v>1.385358345</v>
      </c>
      <c r="O767" s="2" t="str">
        <f t="shared" si="9"/>
        <v>Acceptable</v>
      </c>
    </row>
    <row r="768" ht="15.75" customHeight="1">
      <c r="A768" s="1" t="s">
        <v>92</v>
      </c>
      <c r="B768" s="1" t="s">
        <v>69</v>
      </c>
      <c r="C768" s="1" t="s">
        <v>27</v>
      </c>
      <c r="D768" s="1">
        <v>375.0</v>
      </c>
      <c r="E768" s="1">
        <v>388.0</v>
      </c>
      <c r="F768" s="1">
        <f t="shared" si="2"/>
        <v>13</v>
      </c>
      <c r="G768" s="1">
        <f t="shared" si="3"/>
        <v>13</v>
      </c>
      <c r="H768" s="6">
        <f t="shared" si="4"/>
        <v>0.03466666667</v>
      </c>
      <c r="I768" s="6">
        <f t="shared" si="5"/>
        <v>0.9653333333</v>
      </c>
      <c r="J768" s="1">
        <f t="shared" si="6"/>
        <v>13</v>
      </c>
      <c r="K768" s="1" t="str">
        <f t="shared" si="7"/>
        <v>Over Forecast</v>
      </c>
      <c r="L768" s="1">
        <f>F768</f>
        <v>13</v>
      </c>
      <c r="M768" s="7">
        <f t="shared" si="10"/>
        <v>67.7809648</v>
      </c>
      <c r="N768" s="7">
        <f t="shared" si="8"/>
        <v>0.1917942602</v>
      </c>
      <c r="O768" s="2" t="str">
        <f t="shared" si="9"/>
        <v>Acceptable</v>
      </c>
    </row>
    <row r="769" ht="15.75" customHeight="1">
      <c r="A769" s="1" t="s">
        <v>92</v>
      </c>
      <c r="B769" s="1" t="s">
        <v>69</v>
      </c>
      <c r="C769" s="1" t="s">
        <v>28</v>
      </c>
      <c r="D769" s="1">
        <v>330.0</v>
      </c>
      <c r="E769" s="1">
        <v>355.0</v>
      </c>
      <c r="F769" s="1">
        <f t="shared" si="2"/>
        <v>25</v>
      </c>
      <c r="G769" s="1">
        <f t="shared" si="3"/>
        <v>25</v>
      </c>
      <c r="H769" s="6">
        <f t="shared" si="4"/>
        <v>0.07575757576</v>
      </c>
      <c r="I769" s="6">
        <f t="shared" si="5"/>
        <v>0.9242424242</v>
      </c>
      <c r="J769" s="1">
        <f t="shared" si="6"/>
        <v>25</v>
      </c>
      <c r="K769" s="1" t="str">
        <f t="shared" si="7"/>
        <v>Over Forecast</v>
      </c>
      <c r="L769" s="1">
        <f>F769+J768</f>
        <v>38</v>
      </c>
      <c r="M769" s="7">
        <f t="shared" si="10"/>
        <v>67.72526042</v>
      </c>
      <c r="N769" s="7">
        <f t="shared" si="8"/>
        <v>0.5610904966</v>
      </c>
      <c r="O769" s="2" t="str">
        <f t="shared" si="9"/>
        <v>Acceptable</v>
      </c>
    </row>
    <row r="770" ht="15.75" customHeight="1">
      <c r="A770" s="1" t="s">
        <v>93</v>
      </c>
      <c r="B770" s="1" t="s">
        <v>69</v>
      </c>
      <c r="C770" s="1" t="s">
        <v>17</v>
      </c>
      <c r="D770" s="1">
        <v>443.0</v>
      </c>
      <c r="E770" s="1">
        <v>411.0</v>
      </c>
      <c r="F770" s="1">
        <f t="shared" si="2"/>
        <v>-32</v>
      </c>
      <c r="G770" s="1">
        <f t="shared" si="3"/>
        <v>32</v>
      </c>
      <c r="H770" s="6">
        <f t="shared" si="4"/>
        <v>0.07223476298</v>
      </c>
      <c r="I770" s="6">
        <f t="shared" si="5"/>
        <v>0.927765237</v>
      </c>
      <c r="J770" s="1">
        <f t="shared" si="6"/>
        <v>-32</v>
      </c>
      <c r="K770" s="1" t="str">
        <f t="shared" si="7"/>
        <v>Under Forecast</v>
      </c>
      <c r="L770" s="1">
        <f>F770</f>
        <v>-32</v>
      </c>
      <c r="M770" s="7">
        <f t="shared" si="10"/>
        <v>67.67880364</v>
      </c>
      <c r="N770" s="7">
        <f t="shared" si="8"/>
        <v>-0.4728215967</v>
      </c>
      <c r="O770" s="2" t="str">
        <f t="shared" si="9"/>
        <v>Acceptable</v>
      </c>
    </row>
    <row r="771" ht="15.75" customHeight="1">
      <c r="A771" s="1" t="s">
        <v>93</v>
      </c>
      <c r="B771" s="1" t="s">
        <v>69</v>
      </c>
      <c r="C771" s="1" t="s">
        <v>18</v>
      </c>
      <c r="D771" s="1">
        <v>423.0</v>
      </c>
      <c r="E771" s="1">
        <v>387.0</v>
      </c>
      <c r="F771" s="1">
        <f t="shared" si="2"/>
        <v>-36</v>
      </c>
      <c r="G771" s="1">
        <f t="shared" si="3"/>
        <v>36</v>
      </c>
      <c r="H771" s="6">
        <f t="shared" si="4"/>
        <v>0.08510638298</v>
      </c>
      <c r="I771" s="6">
        <f t="shared" si="5"/>
        <v>0.914893617</v>
      </c>
      <c r="J771" s="1">
        <f t="shared" si="6"/>
        <v>-36</v>
      </c>
      <c r="K771" s="1" t="str">
        <f t="shared" si="7"/>
        <v>Under Forecast</v>
      </c>
      <c r="L771" s="1">
        <f>F771+J770</f>
        <v>-68</v>
      </c>
      <c r="M771" s="7">
        <f t="shared" si="10"/>
        <v>67.63766234</v>
      </c>
      <c r="N771" s="7">
        <f t="shared" si="8"/>
        <v>-1.00535704</v>
      </c>
      <c r="O771" s="2" t="str">
        <f t="shared" si="9"/>
        <v>Acceptable</v>
      </c>
    </row>
    <row r="772" ht="15.75" customHeight="1">
      <c r="A772" s="1" t="s">
        <v>93</v>
      </c>
      <c r="B772" s="1" t="s">
        <v>69</v>
      </c>
      <c r="C772" s="1" t="s">
        <v>19</v>
      </c>
      <c r="D772" s="1">
        <v>462.0</v>
      </c>
      <c r="E772" s="1">
        <v>453.0</v>
      </c>
      <c r="F772" s="1">
        <f t="shared" si="2"/>
        <v>-9</v>
      </c>
      <c r="G772" s="1">
        <f t="shared" si="3"/>
        <v>9</v>
      </c>
      <c r="H772" s="6">
        <f t="shared" si="4"/>
        <v>0.01948051948</v>
      </c>
      <c r="I772" s="6">
        <f t="shared" si="5"/>
        <v>0.9805194805</v>
      </c>
      <c r="J772" s="1">
        <f t="shared" si="6"/>
        <v>-9</v>
      </c>
      <c r="K772" s="1" t="str">
        <f t="shared" si="7"/>
        <v>Under Forecast</v>
      </c>
      <c r="L772" s="1">
        <f>F772</f>
        <v>-9</v>
      </c>
      <c r="M772" s="7">
        <f t="shared" si="10"/>
        <v>67.5616083</v>
      </c>
      <c r="N772" s="7">
        <f t="shared" si="8"/>
        <v>-0.1332117489</v>
      </c>
      <c r="O772" s="2" t="str">
        <f t="shared" si="9"/>
        <v>Acceptable</v>
      </c>
    </row>
    <row r="773" ht="15.75" customHeight="1">
      <c r="A773" s="1" t="s">
        <v>93</v>
      </c>
      <c r="B773" s="1" t="s">
        <v>69</v>
      </c>
      <c r="C773" s="1" t="s">
        <v>20</v>
      </c>
      <c r="D773" s="1">
        <v>499.0</v>
      </c>
      <c r="E773" s="1">
        <v>490.0</v>
      </c>
      <c r="F773" s="1">
        <f t="shared" si="2"/>
        <v>-9</v>
      </c>
      <c r="G773" s="1">
        <f t="shared" si="3"/>
        <v>9</v>
      </c>
      <c r="H773" s="6">
        <f t="shared" si="4"/>
        <v>0.01803607214</v>
      </c>
      <c r="I773" s="6">
        <f t="shared" si="5"/>
        <v>0.9819639279</v>
      </c>
      <c r="J773" s="1">
        <f t="shared" si="6"/>
        <v>-9</v>
      </c>
      <c r="K773" s="1" t="str">
        <f t="shared" si="7"/>
        <v>Under Forecast</v>
      </c>
      <c r="L773" s="1">
        <f>F773+J772</f>
        <v>-18</v>
      </c>
      <c r="M773" s="7">
        <f t="shared" si="10"/>
        <v>67.4857513</v>
      </c>
      <c r="N773" s="7">
        <f t="shared" si="8"/>
        <v>-0.2667229697</v>
      </c>
      <c r="O773" s="2" t="str">
        <f t="shared" si="9"/>
        <v>Acceptable</v>
      </c>
    </row>
    <row r="774" ht="15.75" customHeight="1">
      <c r="A774" s="1" t="s">
        <v>93</v>
      </c>
      <c r="B774" s="1" t="s">
        <v>69</v>
      </c>
      <c r="C774" s="1" t="s">
        <v>21</v>
      </c>
      <c r="D774" s="1">
        <v>505.0</v>
      </c>
      <c r="E774" s="1">
        <v>521.0</v>
      </c>
      <c r="F774" s="1">
        <f t="shared" si="2"/>
        <v>16</v>
      </c>
      <c r="G774" s="1">
        <f t="shared" si="3"/>
        <v>16</v>
      </c>
      <c r="H774" s="6">
        <f t="shared" si="4"/>
        <v>0.03168316832</v>
      </c>
      <c r="I774" s="6">
        <f t="shared" si="5"/>
        <v>0.9683168317</v>
      </c>
      <c r="J774" s="1">
        <f t="shared" si="6"/>
        <v>16</v>
      </c>
      <c r="K774" s="1" t="str">
        <f t="shared" si="7"/>
        <v>Over Forecast</v>
      </c>
      <c r="L774" s="1">
        <f>F774</f>
        <v>16</v>
      </c>
      <c r="M774" s="7">
        <f t="shared" si="10"/>
        <v>67.41914618</v>
      </c>
      <c r="N774" s="7">
        <f t="shared" si="8"/>
        <v>0.2373213086</v>
      </c>
      <c r="O774" s="2" t="str">
        <f t="shared" si="9"/>
        <v>Acceptable</v>
      </c>
    </row>
    <row r="775" ht="15.75" customHeight="1">
      <c r="A775" s="1" t="s">
        <v>93</v>
      </c>
      <c r="B775" s="1" t="s">
        <v>69</v>
      </c>
      <c r="C775" s="1" t="s">
        <v>22</v>
      </c>
      <c r="D775" s="1">
        <v>586.0</v>
      </c>
      <c r="E775" s="1">
        <v>564.0</v>
      </c>
      <c r="F775" s="1">
        <f t="shared" si="2"/>
        <v>-22</v>
      </c>
      <c r="G775" s="1">
        <f t="shared" si="3"/>
        <v>22</v>
      </c>
      <c r="H775" s="6">
        <f t="shared" si="4"/>
        <v>0.03754266212</v>
      </c>
      <c r="I775" s="6">
        <f t="shared" si="5"/>
        <v>0.9624573379</v>
      </c>
      <c r="J775" s="1">
        <f t="shared" si="6"/>
        <v>-22</v>
      </c>
      <c r="K775" s="1" t="str">
        <f t="shared" si="7"/>
        <v>Under Forecast</v>
      </c>
      <c r="L775" s="1">
        <f>F775+J774</f>
        <v>-6</v>
      </c>
      <c r="M775" s="7">
        <f t="shared" si="10"/>
        <v>67.36046512</v>
      </c>
      <c r="N775" s="7">
        <f t="shared" si="8"/>
        <v>-0.08907301916</v>
      </c>
      <c r="O775" s="2" t="str">
        <f t="shared" si="9"/>
        <v>Acceptable</v>
      </c>
    </row>
    <row r="776" ht="15.75" customHeight="1">
      <c r="A776" s="1" t="s">
        <v>93</v>
      </c>
      <c r="B776" s="1" t="s">
        <v>69</v>
      </c>
      <c r="C776" s="1" t="s">
        <v>23</v>
      </c>
      <c r="D776" s="1">
        <v>619.0</v>
      </c>
      <c r="E776" s="1">
        <v>706.0</v>
      </c>
      <c r="F776" s="1">
        <f t="shared" si="2"/>
        <v>87</v>
      </c>
      <c r="G776" s="1">
        <f t="shared" si="3"/>
        <v>87</v>
      </c>
      <c r="H776" s="6">
        <f t="shared" si="4"/>
        <v>0.140549273</v>
      </c>
      <c r="I776" s="6">
        <f t="shared" si="5"/>
        <v>0.859450727</v>
      </c>
      <c r="J776" s="1">
        <f t="shared" si="6"/>
        <v>87</v>
      </c>
      <c r="K776" s="1" t="str">
        <f t="shared" si="7"/>
        <v>Over Forecast</v>
      </c>
      <c r="L776" s="1">
        <f>F776</f>
        <v>87</v>
      </c>
      <c r="M776" s="7">
        <f t="shared" si="10"/>
        <v>67.38580645</v>
      </c>
      <c r="N776" s="7">
        <f t="shared" si="8"/>
        <v>1.29107307</v>
      </c>
      <c r="O776" s="2" t="str">
        <f t="shared" si="9"/>
        <v>Acceptable</v>
      </c>
    </row>
    <row r="777" ht="15.75" customHeight="1">
      <c r="A777" s="1" t="s">
        <v>93</v>
      </c>
      <c r="B777" s="1" t="s">
        <v>69</v>
      </c>
      <c r="C777" s="1" t="s">
        <v>24</v>
      </c>
      <c r="D777" s="1">
        <v>519.0</v>
      </c>
      <c r="E777" s="1">
        <v>579.0</v>
      </c>
      <c r="F777" s="1">
        <f t="shared" si="2"/>
        <v>60</v>
      </c>
      <c r="G777" s="1">
        <f t="shared" si="3"/>
        <v>60</v>
      </c>
      <c r="H777" s="6">
        <f t="shared" si="4"/>
        <v>0.1156069364</v>
      </c>
      <c r="I777" s="6">
        <f t="shared" si="5"/>
        <v>0.8843930636</v>
      </c>
      <c r="J777" s="1">
        <f t="shared" si="6"/>
        <v>60</v>
      </c>
      <c r="K777" s="1" t="str">
        <f t="shared" si="7"/>
        <v>Over Forecast</v>
      </c>
      <c r="L777" s="1">
        <f>F777+J776</f>
        <v>147</v>
      </c>
      <c r="M777" s="7">
        <f t="shared" si="10"/>
        <v>67.37628866</v>
      </c>
      <c r="N777" s="7">
        <f t="shared" si="8"/>
        <v>2.181776452</v>
      </c>
      <c r="O777" s="2" t="str">
        <f t="shared" si="9"/>
        <v>Acceptable</v>
      </c>
    </row>
    <row r="778" ht="15.75" customHeight="1">
      <c r="A778" s="1" t="s">
        <v>93</v>
      </c>
      <c r="B778" s="1" t="s">
        <v>69</v>
      </c>
      <c r="C778" s="1" t="s">
        <v>25</v>
      </c>
      <c r="D778" s="1">
        <v>541.0</v>
      </c>
      <c r="E778" s="1">
        <v>568.0</v>
      </c>
      <c r="F778" s="1">
        <f t="shared" si="2"/>
        <v>27</v>
      </c>
      <c r="G778" s="1">
        <f t="shared" si="3"/>
        <v>27</v>
      </c>
      <c r="H778" s="6">
        <f t="shared" si="4"/>
        <v>0.04990757856</v>
      </c>
      <c r="I778" s="6">
        <f t="shared" si="5"/>
        <v>0.9500924214</v>
      </c>
      <c r="J778" s="1">
        <f t="shared" si="6"/>
        <v>27</v>
      </c>
      <c r="K778" s="1" t="str">
        <f t="shared" si="7"/>
        <v>Over Forecast</v>
      </c>
      <c r="L778" s="1">
        <f>F778</f>
        <v>27</v>
      </c>
      <c r="M778" s="7">
        <f t="shared" si="10"/>
        <v>67.32432432</v>
      </c>
      <c r="N778" s="7">
        <f t="shared" si="8"/>
        <v>0.4010437575</v>
      </c>
      <c r="O778" s="2" t="str">
        <f t="shared" si="9"/>
        <v>Acceptable</v>
      </c>
    </row>
    <row r="779" ht="15.75" customHeight="1">
      <c r="A779" s="1" t="s">
        <v>93</v>
      </c>
      <c r="B779" s="1" t="s">
        <v>69</v>
      </c>
      <c r="C779" s="1" t="s">
        <v>26</v>
      </c>
      <c r="D779" s="1">
        <v>518.0</v>
      </c>
      <c r="E779" s="1">
        <v>533.0</v>
      </c>
      <c r="F779" s="1">
        <f t="shared" si="2"/>
        <v>15</v>
      </c>
      <c r="G779" s="1">
        <f t="shared" si="3"/>
        <v>15</v>
      </c>
      <c r="H779" s="6">
        <f t="shared" si="4"/>
        <v>0.02895752896</v>
      </c>
      <c r="I779" s="6">
        <f t="shared" si="5"/>
        <v>0.971042471</v>
      </c>
      <c r="J779" s="1">
        <f t="shared" si="6"/>
        <v>15</v>
      </c>
      <c r="K779" s="1" t="str">
        <f t="shared" si="7"/>
        <v>Over Forecast</v>
      </c>
      <c r="L779" s="1">
        <f>F779+J778</f>
        <v>42</v>
      </c>
      <c r="M779" s="7">
        <f t="shared" si="10"/>
        <v>67.25706941</v>
      </c>
      <c r="N779" s="7">
        <f t="shared" si="8"/>
        <v>0.6244696709</v>
      </c>
      <c r="O779" s="2" t="str">
        <f t="shared" si="9"/>
        <v>Acceptable</v>
      </c>
    </row>
    <row r="780" ht="15.75" customHeight="1">
      <c r="A780" s="1" t="s">
        <v>93</v>
      </c>
      <c r="B780" s="1" t="s">
        <v>69</v>
      </c>
      <c r="C780" s="1" t="s">
        <v>27</v>
      </c>
      <c r="D780" s="1">
        <v>516.0</v>
      </c>
      <c r="E780" s="1">
        <v>537.0</v>
      </c>
      <c r="F780" s="1">
        <f t="shared" si="2"/>
        <v>21</v>
      </c>
      <c r="G780" s="1">
        <f t="shared" si="3"/>
        <v>21</v>
      </c>
      <c r="H780" s="6">
        <f t="shared" si="4"/>
        <v>0.04069767442</v>
      </c>
      <c r="I780" s="6">
        <f t="shared" si="5"/>
        <v>0.9593023256</v>
      </c>
      <c r="J780" s="1">
        <f t="shared" si="6"/>
        <v>21</v>
      </c>
      <c r="K780" s="1" t="str">
        <f t="shared" si="7"/>
        <v>Over Forecast</v>
      </c>
      <c r="L780" s="1">
        <f>F780</f>
        <v>21</v>
      </c>
      <c r="M780" s="7">
        <f t="shared" si="10"/>
        <v>67.19768935</v>
      </c>
      <c r="N780" s="7">
        <f t="shared" si="8"/>
        <v>0.3125107456</v>
      </c>
      <c r="O780" s="2" t="str">
        <f t="shared" si="9"/>
        <v>Acceptable</v>
      </c>
    </row>
    <row r="781" ht="15.75" customHeight="1">
      <c r="A781" s="1" t="s">
        <v>93</v>
      </c>
      <c r="B781" s="1" t="s">
        <v>69</v>
      </c>
      <c r="C781" s="1" t="s">
        <v>28</v>
      </c>
      <c r="D781" s="1">
        <v>531.0</v>
      </c>
      <c r="E781" s="1">
        <v>574.0</v>
      </c>
      <c r="F781" s="1">
        <f t="shared" si="2"/>
        <v>43</v>
      </c>
      <c r="G781" s="1">
        <f t="shared" si="3"/>
        <v>43</v>
      </c>
      <c r="H781" s="6">
        <f t="shared" si="4"/>
        <v>0.08097928437</v>
      </c>
      <c r="I781" s="6">
        <f t="shared" si="5"/>
        <v>0.9190207156</v>
      </c>
      <c r="J781" s="1">
        <f t="shared" si="6"/>
        <v>43</v>
      </c>
      <c r="K781" s="1" t="str">
        <f t="shared" si="7"/>
        <v>Over Forecast</v>
      </c>
      <c r="L781" s="1">
        <f>F781+J780</f>
        <v>64</v>
      </c>
      <c r="M781" s="7">
        <f t="shared" si="10"/>
        <v>67.16666667</v>
      </c>
      <c r="N781" s="7">
        <f t="shared" si="8"/>
        <v>0.952853598</v>
      </c>
      <c r="O781" s="2" t="str">
        <f t="shared" si="9"/>
        <v>Acceptable</v>
      </c>
    </row>
    <row r="782" ht="15.75" customHeight="1">
      <c r="A782" s="1" t="s">
        <v>94</v>
      </c>
      <c r="B782" s="1" t="s">
        <v>69</v>
      </c>
      <c r="C782" s="1" t="s">
        <v>17</v>
      </c>
      <c r="D782" s="1">
        <v>815.0</v>
      </c>
      <c r="E782" s="1">
        <v>885.0</v>
      </c>
      <c r="F782" s="1">
        <f t="shared" si="2"/>
        <v>70</v>
      </c>
      <c r="G782" s="1">
        <f t="shared" si="3"/>
        <v>70</v>
      </c>
      <c r="H782" s="6">
        <f t="shared" si="4"/>
        <v>0.08588957055</v>
      </c>
      <c r="I782" s="6">
        <f t="shared" si="5"/>
        <v>0.9141104294</v>
      </c>
      <c r="J782" s="1">
        <f t="shared" si="6"/>
        <v>70</v>
      </c>
      <c r="K782" s="1" t="str">
        <f t="shared" si="7"/>
        <v>Over Forecast</v>
      </c>
      <c r="L782" s="1">
        <f>F782</f>
        <v>70</v>
      </c>
      <c r="M782" s="7">
        <f t="shared" si="10"/>
        <v>67.17029449</v>
      </c>
      <c r="N782" s="7">
        <f t="shared" si="8"/>
        <v>1.042127335</v>
      </c>
      <c r="O782" s="2" t="str">
        <f t="shared" si="9"/>
        <v>Acceptable</v>
      </c>
    </row>
    <row r="783" ht="15.75" customHeight="1">
      <c r="A783" s="1" t="s">
        <v>94</v>
      </c>
      <c r="B783" s="1" t="s">
        <v>69</v>
      </c>
      <c r="C783" s="1" t="s">
        <v>18</v>
      </c>
      <c r="D783" s="1">
        <v>780.0</v>
      </c>
      <c r="E783" s="1">
        <v>681.0</v>
      </c>
      <c r="F783" s="1">
        <f t="shared" si="2"/>
        <v>-99</v>
      </c>
      <c r="G783" s="1">
        <f t="shared" si="3"/>
        <v>99</v>
      </c>
      <c r="H783" s="6">
        <f t="shared" si="4"/>
        <v>0.1269230769</v>
      </c>
      <c r="I783" s="6">
        <f t="shared" si="5"/>
        <v>0.8730769231</v>
      </c>
      <c r="J783" s="1">
        <f t="shared" si="6"/>
        <v>-99</v>
      </c>
      <c r="K783" s="1" t="str">
        <f t="shared" si="7"/>
        <v>Under Forecast</v>
      </c>
      <c r="L783" s="1">
        <f>F783+J782</f>
        <v>-29</v>
      </c>
      <c r="M783" s="7">
        <f t="shared" si="10"/>
        <v>67.21099744</v>
      </c>
      <c r="N783" s="7">
        <f t="shared" si="8"/>
        <v>-0.4314770068</v>
      </c>
      <c r="O783" s="2" t="str">
        <f t="shared" si="9"/>
        <v>Acceptable</v>
      </c>
    </row>
    <row r="784" ht="15.75" customHeight="1">
      <c r="A784" s="1" t="s">
        <v>94</v>
      </c>
      <c r="B784" s="1" t="s">
        <v>69</v>
      </c>
      <c r="C784" s="1" t="s">
        <v>19</v>
      </c>
      <c r="D784" s="1">
        <v>849.0</v>
      </c>
      <c r="E784" s="1">
        <v>765.0</v>
      </c>
      <c r="F784" s="1">
        <f t="shared" si="2"/>
        <v>-84</v>
      </c>
      <c r="G784" s="1">
        <f t="shared" si="3"/>
        <v>84</v>
      </c>
      <c r="H784" s="6">
        <f t="shared" si="4"/>
        <v>0.09893992933</v>
      </c>
      <c r="I784" s="6">
        <f t="shared" si="5"/>
        <v>0.9010600707</v>
      </c>
      <c r="J784" s="1">
        <f t="shared" si="6"/>
        <v>-84</v>
      </c>
      <c r="K784" s="1" t="str">
        <f t="shared" si="7"/>
        <v>Under Forecast</v>
      </c>
      <c r="L784" s="1">
        <f>F784</f>
        <v>-84</v>
      </c>
      <c r="M784" s="7">
        <f t="shared" si="10"/>
        <v>67.23243934</v>
      </c>
      <c r="N784" s="7">
        <f t="shared" si="8"/>
        <v>-1.249396881</v>
      </c>
      <c r="O784" s="2" t="str">
        <f t="shared" si="9"/>
        <v>Acceptable</v>
      </c>
    </row>
    <row r="785" ht="15.75" customHeight="1">
      <c r="A785" s="1" t="s">
        <v>94</v>
      </c>
      <c r="B785" s="1" t="s">
        <v>69</v>
      </c>
      <c r="C785" s="1" t="s">
        <v>20</v>
      </c>
      <c r="D785" s="1">
        <v>949.0</v>
      </c>
      <c r="E785" s="1">
        <v>905.0</v>
      </c>
      <c r="F785" s="1">
        <f t="shared" si="2"/>
        <v>-44</v>
      </c>
      <c r="G785" s="1">
        <f t="shared" si="3"/>
        <v>44</v>
      </c>
      <c r="H785" s="6">
        <f t="shared" si="4"/>
        <v>0.04636459431</v>
      </c>
      <c r="I785" s="6">
        <f t="shared" si="5"/>
        <v>0.9536354057</v>
      </c>
      <c r="J785" s="1">
        <f t="shared" si="6"/>
        <v>-44</v>
      </c>
      <c r="K785" s="1" t="str">
        <f t="shared" si="7"/>
        <v>Under Forecast</v>
      </c>
      <c r="L785" s="1">
        <f>F785+J784</f>
        <v>-128</v>
      </c>
      <c r="M785" s="7">
        <f t="shared" si="10"/>
        <v>67.20280612</v>
      </c>
      <c r="N785" s="7">
        <f t="shared" si="8"/>
        <v>-1.904682369</v>
      </c>
      <c r="O785" s="2" t="str">
        <f t="shared" si="9"/>
        <v>Acceptable</v>
      </c>
    </row>
    <row r="786" ht="15.75" customHeight="1">
      <c r="A786" s="1" t="s">
        <v>94</v>
      </c>
      <c r="B786" s="1" t="s">
        <v>69</v>
      </c>
      <c r="C786" s="1" t="s">
        <v>21</v>
      </c>
      <c r="D786" s="1">
        <v>1054.0</v>
      </c>
      <c r="E786" s="1">
        <v>1098.0</v>
      </c>
      <c r="F786" s="1">
        <f t="shared" si="2"/>
        <v>44</v>
      </c>
      <c r="G786" s="1">
        <f t="shared" si="3"/>
        <v>44</v>
      </c>
      <c r="H786" s="6">
        <f t="shared" si="4"/>
        <v>0.04174573055</v>
      </c>
      <c r="I786" s="6">
        <f t="shared" si="5"/>
        <v>0.9582542694</v>
      </c>
      <c r="J786" s="1">
        <f t="shared" si="6"/>
        <v>44</v>
      </c>
      <c r="K786" s="1" t="str">
        <f t="shared" si="7"/>
        <v>Over Forecast</v>
      </c>
      <c r="L786" s="1">
        <f>F786</f>
        <v>44</v>
      </c>
      <c r="M786" s="7">
        <f t="shared" si="10"/>
        <v>67.17324841</v>
      </c>
      <c r="N786" s="7">
        <f t="shared" si="8"/>
        <v>0.6550226622</v>
      </c>
      <c r="O786" s="2" t="str">
        <f t="shared" si="9"/>
        <v>Acceptable</v>
      </c>
    </row>
    <row r="787" ht="15.75" customHeight="1">
      <c r="A787" s="1" t="s">
        <v>94</v>
      </c>
      <c r="B787" s="1" t="s">
        <v>69</v>
      </c>
      <c r="C787" s="1" t="s">
        <v>22</v>
      </c>
      <c r="D787" s="1">
        <v>1069.0</v>
      </c>
      <c r="E787" s="1">
        <v>951.0</v>
      </c>
      <c r="F787" s="1">
        <f t="shared" si="2"/>
        <v>-118</v>
      </c>
      <c r="G787" s="1">
        <f t="shared" si="3"/>
        <v>118</v>
      </c>
      <c r="H787" s="6">
        <f t="shared" si="4"/>
        <v>0.110383536</v>
      </c>
      <c r="I787" s="6">
        <f t="shared" si="5"/>
        <v>0.889616464</v>
      </c>
      <c r="J787" s="1">
        <f t="shared" si="6"/>
        <v>-118</v>
      </c>
      <c r="K787" s="1" t="str">
        <f t="shared" si="7"/>
        <v>Under Forecast</v>
      </c>
      <c r="L787" s="1">
        <f>F787+J786</f>
        <v>-74</v>
      </c>
      <c r="M787" s="7">
        <f t="shared" si="10"/>
        <v>67.23791349</v>
      </c>
      <c r="N787" s="7">
        <f t="shared" si="8"/>
        <v>-1.100569547</v>
      </c>
      <c r="O787" s="2" t="str">
        <f t="shared" si="9"/>
        <v>Acceptable</v>
      </c>
    </row>
    <row r="788" ht="15.75" customHeight="1">
      <c r="A788" s="1" t="s">
        <v>94</v>
      </c>
      <c r="B788" s="1" t="s">
        <v>69</v>
      </c>
      <c r="C788" s="1" t="s">
        <v>23</v>
      </c>
      <c r="D788" s="1">
        <v>1124.0</v>
      </c>
      <c r="E788" s="1">
        <v>1266.0</v>
      </c>
      <c r="F788" s="1">
        <f t="shared" si="2"/>
        <v>142</v>
      </c>
      <c r="G788" s="1">
        <f t="shared" si="3"/>
        <v>142</v>
      </c>
      <c r="H788" s="6">
        <f t="shared" si="4"/>
        <v>0.1263345196</v>
      </c>
      <c r="I788" s="6">
        <f t="shared" si="5"/>
        <v>0.8736654804</v>
      </c>
      <c r="J788" s="1">
        <f t="shared" si="6"/>
        <v>142</v>
      </c>
      <c r="K788" s="1" t="str">
        <f t="shared" si="7"/>
        <v>Over Forecast</v>
      </c>
      <c r="L788" s="1">
        <f>F788</f>
        <v>142</v>
      </c>
      <c r="M788" s="7">
        <f t="shared" si="10"/>
        <v>67.33290978</v>
      </c>
      <c r="N788" s="7">
        <f t="shared" si="8"/>
        <v>2.108924157</v>
      </c>
      <c r="O788" s="2" t="str">
        <f t="shared" si="9"/>
        <v>Acceptable</v>
      </c>
    </row>
    <row r="789" ht="15.75" customHeight="1">
      <c r="A789" s="1" t="s">
        <v>94</v>
      </c>
      <c r="B789" s="1" t="s">
        <v>69</v>
      </c>
      <c r="C789" s="1" t="s">
        <v>24</v>
      </c>
      <c r="D789" s="1">
        <v>1033.0</v>
      </c>
      <c r="E789" s="1">
        <v>1065.0</v>
      </c>
      <c r="F789" s="1">
        <f t="shared" si="2"/>
        <v>32</v>
      </c>
      <c r="G789" s="1">
        <f t="shared" si="3"/>
        <v>32</v>
      </c>
      <c r="H789" s="6">
        <f t="shared" si="4"/>
        <v>0.03097773475</v>
      </c>
      <c r="I789" s="6">
        <f t="shared" si="5"/>
        <v>0.9690222652</v>
      </c>
      <c r="J789" s="1">
        <f t="shared" si="6"/>
        <v>32</v>
      </c>
      <c r="K789" s="1" t="str">
        <f t="shared" si="7"/>
        <v>Over Forecast</v>
      </c>
      <c r="L789" s="1">
        <f>F789+J788</f>
        <v>174</v>
      </c>
      <c r="M789" s="7">
        <f t="shared" si="10"/>
        <v>67.28807107</v>
      </c>
      <c r="N789" s="7">
        <f t="shared" si="8"/>
        <v>2.585896686</v>
      </c>
      <c r="O789" s="2" t="str">
        <f t="shared" si="9"/>
        <v>Acceptable</v>
      </c>
    </row>
    <row r="790" ht="15.75" customHeight="1">
      <c r="A790" s="1" t="s">
        <v>94</v>
      </c>
      <c r="B790" s="1" t="s">
        <v>69</v>
      </c>
      <c r="C790" s="1" t="s">
        <v>25</v>
      </c>
      <c r="D790" s="1">
        <v>1055.0</v>
      </c>
      <c r="E790" s="1">
        <v>952.0</v>
      </c>
      <c r="F790" s="1">
        <f t="shared" si="2"/>
        <v>-103</v>
      </c>
      <c r="G790" s="1">
        <f t="shared" si="3"/>
        <v>103</v>
      </c>
      <c r="H790" s="6">
        <f t="shared" si="4"/>
        <v>0.09763033175</v>
      </c>
      <c r="I790" s="6">
        <f t="shared" si="5"/>
        <v>0.9023696682</v>
      </c>
      <c r="J790" s="1">
        <f t="shared" si="6"/>
        <v>-103</v>
      </c>
      <c r="K790" s="1" t="str">
        <f t="shared" si="7"/>
        <v>Under Forecast</v>
      </c>
      <c r="L790" s="1">
        <f>F790</f>
        <v>-103</v>
      </c>
      <c r="M790" s="7">
        <f t="shared" si="10"/>
        <v>67.33333333</v>
      </c>
      <c r="N790" s="7">
        <f t="shared" si="8"/>
        <v>-1.52970297</v>
      </c>
      <c r="O790" s="2" t="str">
        <f t="shared" si="9"/>
        <v>Acceptable</v>
      </c>
    </row>
    <row r="791" ht="15.75" customHeight="1">
      <c r="A791" s="1" t="s">
        <v>94</v>
      </c>
      <c r="B791" s="1" t="s">
        <v>69</v>
      </c>
      <c r="C791" s="1" t="s">
        <v>26</v>
      </c>
      <c r="D791" s="1">
        <v>1007.0</v>
      </c>
      <c r="E791" s="1">
        <v>976.0</v>
      </c>
      <c r="F791" s="1">
        <f t="shared" si="2"/>
        <v>-31</v>
      </c>
      <c r="G791" s="1">
        <f t="shared" si="3"/>
        <v>31</v>
      </c>
      <c r="H791" s="6">
        <f t="shared" si="4"/>
        <v>0.03078450844</v>
      </c>
      <c r="I791" s="6">
        <f t="shared" si="5"/>
        <v>0.9692154916</v>
      </c>
      <c r="J791" s="1">
        <f t="shared" si="6"/>
        <v>-31</v>
      </c>
      <c r="K791" s="1" t="str">
        <f t="shared" si="7"/>
        <v>Under Forecast</v>
      </c>
      <c r="L791" s="1">
        <f>F791+J790</f>
        <v>-134</v>
      </c>
      <c r="M791" s="7">
        <f t="shared" si="10"/>
        <v>67.28734177</v>
      </c>
      <c r="N791" s="7">
        <f t="shared" si="8"/>
        <v>-1.991459262</v>
      </c>
      <c r="O791" s="2" t="str">
        <f t="shared" si="9"/>
        <v>Acceptable</v>
      </c>
    </row>
    <row r="792" ht="15.75" customHeight="1">
      <c r="A792" s="1" t="s">
        <v>94</v>
      </c>
      <c r="B792" s="1" t="s">
        <v>69</v>
      </c>
      <c r="C792" s="1" t="s">
        <v>27</v>
      </c>
      <c r="D792" s="1">
        <v>939.0</v>
      </c>
      <c r="E792" s="1">
        <v>901.0</v>
      </c>
      <c r="F792" s="1">
        <f t="shared" si="2"/>
        <v>-38</v>
      </c>
      <c r="G792" s="1">
        <f t="shared" si="3"/>
        <v>38</v>
      </c>
      <c r="H792" s="6">
        <f t="shared" si="4"/>
        <v>0.0404685836</v>
      </c>
      <c r="I792" s="6">
        <f t="shared" si="5"/>
        <v>0.9595314164</v>
      </c>
      <c r="J792" s="1">
        <f t="shared" si="6"/>
        <v>-38</v>
      </c>
      <c r="K792" s="1" t="str">
        <f t="shared" si="7"/>
        <v>Under Forecast</v>
      </c>
      <c r="L792" s="1">
        <f>F792</f>
        <v>-38</v>
      </c>
      <c r="M792" s="7">
        <f t="shared" si="10"/>
        <v>67.25031606</v>
      </c>
      <c r="N792" s="7">
        <f t="shared" si="8"/>
        <v>-0.5650531065</v>
      </c>
      <c r="O792" s="2" t="str">
        <f t="shared" si="9"/>
        <v>Acceptable</v>
      </c>
    </row>
    <row r="793" ht="15.75" customHeight="1">
      <c r="A793" s="1" t="s">
        <v>94</v>
      </c>
      <c r="B793" s="1" t="s">
        <v>69</v>
      </c>
      <c r="C793" s="1" t="s">
        <v>28</v>
      </c>
      <c r="D793" s="1">
        <v>918.0</v>
      </c>
      <c r="E793" s="1">
        <v>787.0</v>
      </c>
      <c r="F793" s="1">
        <f t="shared" si="2"/>
        <v>-131</v>
      </c>
      <c r="G793" s="1">
        <f t="shared" si="3"/>
        <v>131</v>
      </c>
      <c r="H793" s="6">
        <f t="shared" si="4"/>
        <v>0.1427015251</v>
      </c>
      <c r="I793" s="6">
        <f t="shared" si="5"/>
        <v>0.8572984749</v>
      </c>
      <c r="J793" s="1">
        <f t="shared" si="6"/>
        <v>-131</v>
      </c>
      <c r="K793" s="1" t="str">
        <f t="shared" si="7"/>
        <v>Under Forecast</v>
      </c>
      <c r="L793" s="1">
        <f>F793+J792</f>
        <v>-169</v>
      </c>
      <c r="M793" s="7">
        <f t="shared" si="10"/>
        <v>67.33080808</v>
      </c>
      <c r="N793" s="7">
        <f t="shared" si="8"/>
        <v>-2.509995124</v>
      </c>
      <c r="O793" s="2" t="str">
        <f t="shared" si="9"/>
        <v>Acceptable</v>
      </c>
    </row>
    <row r="794" ht="15.75" customHeight="1">
      <c r="A794" s="1" t="s">
        <v>95</v>
      </c>
      <c r="B794" s="1" t="s">
        <v>69</v>
      </c>
      <c r="C794" s="1" t="s">
        <v>17</v>
      </c>
      <c r="D794" s="1">
        <v>281.0</v>
      </c>
      <c r="E794" s="1">
        <v>295.0</v>
      </c>
      <c r="F794" s="1">
        <f t="shared" si="2"/>
        <v>14</v>
      </c>
      <c r="G794" s="1">
        <f t="shared" si="3"/>
        <v>14</v>
      </c>
      <c r="H794" s="6">
        <f t="shared" si="4"/>
        <v>0.04982206406</v>
      </c>
      <c r="I794" s="6">
        <f t="shared" si="5"/>
        <v>0.9501779359</v>
      </c>
      <c r="J794" s="1">
        <f t="shared" si="6"/>
        <v>14</v>
      </c>
      <c r="K794" s="1" t="str">
        <f t="shared" si="7"/>
        <v>Over Forecast</v>
      </c>
      <c r="L794" s="1">
        <f>F794</f>
        <v>14</v>
      </c>
      <c r="M794" s="7">
        <f t="shared" si="10"/>
        <v>67.26355612</v>
      </c>
      <c r="N794" s="7">
        <f t="shared" si="8"/>
        <v>0.2081364829</v>
      </c>
      <c r="O794" s="2" t="str">
        <f t="shared" si="9"/>
        <v>Acceptable</v>
      </c>
    </row>
    <row r="795" ht="15.75" customHeight="1">
      <c r="A795" s="1" t="s">
        <v>95</v>
      </c>
      <c r="B795" s="1" t="s">
        <v>69</v>
      </c>
      <c r="C795" s="1" t="s">
        <v>18</v>
      </c>
      <c r="D795" s="1">
        <v>293.0</v>
      </c>
      <c r="E795" s="1">
        <v>292.0</v>
      </c>
      <c r="F795" s="1">
        <f t="shared" si="2"/>
        <v>-1</v>
      </c>
      <c r="G795" s="1">
        <f t="shared" si="3"/>
        <v>1</v>
      </c>
      <c r="H795" s="6">
        <f t="shared" si="4"/>
        <v>0.003412969283</v>
      </c>
      <c r="I795" s="6">
        <f t="shared" si="5"/>
        <v>0.9965870307</v>
      </c>
      <c r="J795" s="1">
        <f t="shared" si="6"/>
        <v>-1</v>
      </c>
      <c r="K795" s="1" t="str">
        <f t="shared" si="7"/>
        <v>Under Forecast</v>
      </c>
      <c r="L795" s="1">
        <f>F795+J794</f>
        <v>13</v>
      </c>
      <c r="M795" s="7">
        <f t="shared" si="10"/>
        <v>67.18010076</v>
      </c>
      <c r="N795" s="7">
        <f t="shared" si="8"/>
        <v>0.193509683</v>
      </c>
      <c r="O795" s="2" t="str">
        <f t="shared" si="9"/>
        <v>Acceptable</v>
      </c>
    </row>
    <row r="796" ht="15.75" customHeight="1">
      <c r="A796" s="1" t="s">
        <v>95</v>
      </c>
      <c r="B796" s="1" t="s">
        <v>69</v>
      </c>
      <c r="C796" s="1" t="s">
        <v>19</v>
      </c>
      <c r="D796" s="1">
        <v>358.0</v>
      </c>
      <c r="E796" s="1">
        <v>387.0</v>
      </c>
      <c r="F796" s="1">
        <f t="shared" si="2"/>
        <v>29</v>
      </c>
      <c r="G796" s="1">
        <f t="shared" si="3"/>
        <v>29</v>
      </c>
      <c r="H796" s="6">
        <f t="shared" si="4"/>
        <v>0.08100558659</v>
      </c>
      <c r="I796" s="6">
        <f t="shared" si="5"/>
        <v>0.9189944134</v>
      </c>
      <c r="J796" s="1">
        <f t="shared" si="6"/>
        <v>29</v>
      </c>
      <c r="K796" s="1" t="str">
        <f t="shared" si="7"/>
        <v>Over Forecast</v>
      </c>
      <c r="L796" s="1">
        <f>F796</f>
        <v>29</v>
      </c>
      <c r="M796" s="7">
        <f t="shared" si="10"/>
        <v>67.13207547</v>
      </c>
      <c r="N796" s="7">
        <f t="shared" si="8"/>
        <v>0.4319842608</v>
      </c>
      <c r="O796" s="2" t="str">
        <f t="shared" si="9"/>
        <v>Acceptable</v>
      </c>
    </row>
    <row r="797" ht="15.75" customHeight="1">
      <c r="A797" s="1" t="s">
        <v>95</v>
      </c>
      <c r="B797" s="1" t="s">
        <v>69</v>
      </c>
      <c r="C797" s="1" t="s">
        <v>20</v>
      </c>
      <c r="D797" s="1">
        <v>324.0</v>
      </c>
      <c r="E797" s="1">
        <v>348.0</v>
      </c>
      <c r="F797" s="1">
        <f t="shared" si="2"/>
        <v>24</v>
      </c>
      <c r="G797" s="1">
        <f t="shared" si="3"/>
        <v>24</v>
      </c>
      <c r="H797" s="6">
        <f t="shared" si="4"/>
        <v>0.07407407407</v>
      </c>
      <c r="I797" s="6">
        <f t="shared" si="5"/>
        <v>0.9259259259</v>
      </c>
      <c r="J797" s="1">
        <f t="shared" si="6"/>
        <v>24</v>
      </c>
      <c r="K797" s="1" t="str">
        <f t="shared" si="7"/>
        <v>Over Forecast</v>
      </c>
      <c r="L797" s="1">
        <f>F797+J796</f>
        <v>53</v>
      </c>
      <c r="M797" s="7">
        <f t="shared" si="10"/>
        <v>67.07788945</v>
      </c>
      <c r="N797" s="7">
        <f t="shared" si="8"/>
        <v>0.7901262314</v>
      </c>
      <c r="O797" s="2" t="str">
        <f t="shared" si="9"/>
        <v>Acceptable</v>
      </c>
    </row>
    <row r="798" ht="15.75" customHeight="1">
      <c r="A798" s="1" t="s">
        <v>95</v>
      </c>
      <c r="B798" s="1" t="s">
        <v>69</v>
      </c>
      <c r="C798" s="1" t="s">
        <v>21</v>
      </c>
      <c r="D798" s="1">
        <v>313.0</v>
      </c>
      <c r="E798" s="1">
        <v>258.0</v>
      </c>
      <c r="F798" s="1">
        <f t="shared" si="2"/>
        <v>-55</v>
      </c>
      <c r="G798" s="1">
        <f t="shared" si="3"/>
        <v>55</v>
      </c>
      <c r="H798" s="6">
        <f t="shared" si="4"/>
        <v>0.1757188498</v>
      </c>
      <c r="I798" s="6">
        <f t="shared" si="5"/>
        <v>0.8242811502</v>
      </c>
      <c r="J798" s="1">
        <f t="shared" si="6"/>
        <v>-55</v>
      </c>
      <c r="K798" s="1" t="str">
        <f t="shared" si="7"/>
        <v>Under Forecast</v>
      </c>
      <c r="L798" s="1">
        <f>F798</f>
        <v>-55</v>
      </c>
      <c r="M798" s="7">
        <f t="shared" si="10"/>
        <v>67.06273526</v>
      </c>
      <c r="N798" s="7">
        <f t="shared" si="8"/>
        <v>-0.8201275983</v>
      </c>
      <c r="O798" s="2" t="str">
        <f t="shared" si="9"/>
        <v>Acceptable</v>
      </c>
    </row>
    <row r="799" ht="15.75" customHeight="1">
      <c r="A799" s="1" t="s">
        <v>95</v>
      </c>
      <c r="B799" s="1" t="s">
        <v>69</v>
      </c>
      <c r="C799" s="1" t="s">
        <v>22</v>
      </c>
      <c r="D799" s="1">
        <v>362.0</v>
      </c>
      <c r="E799" s="1">
        <v>336.0</v>
      </c>
      <c r="F799" s="1">
        <f t="shared" si="2"/>
        <v>-26</v>
      </c>
      <c r="G799" s="1">
        <f t="shared" si="3"/>
        <v>26</v>
      </c>
      <c r="H799" s="6">
        <f t="shared" si="4"/>
        <v>0.07182320442</v>
      </c>
      <c r="I799" s="6">
        <f t="shared" si="5"/>
        <v>0.9281767956</v>
      </c>
      <c r="J799" s="1">
        <f t="shared" si="6"/>
        <v>-26</v>
      </c>
      <c r="K799" s="1" t="str">
        <f t="shared" si="7"/>
        <v>Under Forecast</v>
      </c>
      <c r="L799" s="1">
        <f>F799+J798</f>
        <v>-81</v>
      </c>
      <c r="M799" s="7">
        <f t="shared" si="10"/>
        <v>67.0112782</v>
      </c>
      <c r="N799" s="7">
        <f t="shared" si="8"/>
        <v>-1.208751753</v>
      </c>
      <c r="O799" s="2" t="str">
        <f t="shared" si="9"/>
        <v>Acceptable</v>
      </c>
    </row>
    <row r="800" ht="15.75" customHeight="1">
      <c r="A800" s="1" t="s">
        <v>95</v>
      </c>
      <c r="B800" s="1" t="s">
        <v>69</v>
      </c>
      <c r="C800" s="1" t="s">
        <v>23</v>
      </c>
      <c r="D800" s="1">
        <v>352.0</v>
      </c>
      <c r="E800" s="1">
        <v>348.0</v>
      </c>
      <c r="F800" s="1">
        <f t="shared" si="2"/>
        <v>-4</v>
      </c>
      <c r="G800" s="1">
        <f t="shared" si="3"/>
        <v>4</v>
      </c>
      <c r="H800" s="6">
        <f t="shared" si="4"/>
        <v>0.01136363636</v>
      </c>
      <c r="I800" s="6">
        <f t="shared" si="5"/>
        <v>0.9886363636</v>
      </c>
      <c r="J800" s="1">
        <f t="shared" si="6"/>
        <v>-4</v>
      </c>
      <c r="K800" s="1" t="str">
        <f t="shared" si="7"/>
        <v>Under Forecast</v>
      </c>
      <c r="L800" s="1">
        <f>F800</f>
        <v>-4</v>
      </c>
      <c r="M800" s="7">
        <f t="shared" si="10"/>
        <v>66.93241552</v>
      </c>
      <c r="N800" s="7">
        <f t="shared" si="8"/>
        <v>-0.05976177565</v>
      </c>
      <c r="O800" s="2" t="str">
        <f t="shared" si="9"/>
        <v>Acceptable</v>
      </c>
    </row>
    <row r="801" ht="15.75" customHeight="1">
      <c r="A801" s="1" t="s">
        <v>95</v>
      </c>
      <c r="B801" s="1" t="s">
        <v>69</v>
      </c>
      <c r="C801" s="1" t="s">
        <v>24</v>
      </c>
      <c r="D801" s="1">
        <v>326.0</v>
      </c>
      <c r="E801" s="1">
        <v>288.0</v>
      </c>
      <c r="F801" s="1">
        <f t="shared" si="2"/>
        <v>-38</v>
      </c>
      <c r="G801" s="1">
        <f t="shared" si="3"/>
        <v>38</v>
      </c>
      <c r="H801" s="6">
        <f t="shared" si="4"/>
        <v>0.1165644172</v>
      </c>
      <c r="I801" s="6">
        <f t="shared" si="5"/>
        <v>0.8834355828</v>
      </c>
      <c r="J801" s="1">
        <f t="shared" si="6"/>
        <v>-38</v>
      </c>
      <c r="K801" s="1" t="str">
        <f t="shared" si="7"/>
        <v>Under Forecast</v>
      </c>
      <c r="L801" s="1">
        <f>F801+J800</f>
        <v>-42</v>
      </c>
      <c r="M801" s="7">
        <f t="shared" si="10"/>
        <v>66.89625</v>
      </c>
      <c r="N801" s="7">
        <f t="shared" si="8"/>
        <v>-0.6278378833</v>
      </c>
      <c r="O801" s="2" t="str">
        <f t="shared" si="9"/>
        <v>Acceptable</v>
      </c>
    </row>
    <row r="802" ht="15.75" customHeight="1">
      <c r="A802" s="1" t="s">
        <v>95</v>
      </c>
      <c r="B802" s="1" t="s">
        <v>69</v>
      </c>
      <c r="C802" s="1" t="s">
        <v>25</v>
      </c>
      <c r="D802" s="1">
        <v>327.0</v>
      </c>
      <c r="E802" s="1">
        <v>342.0</v>
      </c>
      <c r="F802" s="1">
        <f t="shared" si="2"/>
        <v>15</v>
      </c>
      <c r="G802" s="1">
        <f t="shared" si="3"/>
        <v>15</v>
      </c>
      <c r="H802" s="6">
        <f t="shared" si="4"/>
        <v>0.04587155963</v>
      </c>
      <c r="I802" s="6">
        <f t="shared" si="5"/>
        <v>0.9541284404</v>
      </c>
      <c r="J802" s="1">
        <f t="shared" si="6"/>
        <v>15</v>
      </c>
      <c r="K802" s="1" t="str">
        <f t="shared" si="7"/>
        <v>Over Forecast</v>
      </c>
      <c r="L802" s="1">
        <f>F802</f>
        <v>15</v>
      </c>
      <c r="M802" s="7">
        <f t="shared" si="10"/>
        <v>66.83146067</v>
      </c>
      <c r="N802" s="7">
        <f t="shared" si="8"/>
        <v>0.2244451917</v>
      </c>
      <c r="O802" s="2" t="str">
        <f t="shared" si="9"/>
        <v>Acceptable</v>
      </c>
    </row>
    <row r="803" ht="15.75" customHeight="1">
      <c r="A803" s="1" t="s">
        <v>95</v>
      </c>
      <c r="B803" s="1" t="s">
        <v>69</v>
      </c>
      <c r="C803" s="1" t="s">
        <v>26</v>
      </c>
      <c r="D803" s="1">
        <v>329.0</v>
      </c>
      <c r="E803" s="1">
        <v>299.0</v>
      </c>
      <c r="F803" s="1">
        <f t="shared" si="2"/>
        <v>-30</v>
      </c>
      <c r="G803" s="1">
        <f t="shared" si="3"/>
        <v>30</v>
      </c>
      <c r="H803" s="6">
        <f t="shared" si="4"/>
        <v>0.09118541033</v>
      </c>
      <c r="I803" s="6">
        <f t="shared" si="5"/>
        <v>0.9088145897</v>
      </c>
      <c r="J803" s="1">
        <f t="shared" si="6"/>
        <v>-30</v>
      </c>
      <c r="K803" s="1" t="str">
        <f t="shared" si="7"/>
        <v>Under Forecast</v>
      </c>
      <c r="L803" s="1">
        <f>F803+J802</f>
        <v>-15</v>
      </c>
      <c r="M803" s="7">
        <f t="shared" si="10"/>
        <v>66.78553616</v>
      </c>
      <c r="N803" s="7">
        <f t="shared" si="8"/>
        <v>-0.2245995295</v>
      </c>
      <c r="O803" s="2" t="str">
        <f t="shared" si="9"/>
        <v>Acceptable</v>
      </c>
    </row>
    <row r="804" ht="15.75" customHeight="1">
      <c r="A804" s="1" t="s">
        <v>95</v>
      </c>
      <c r="B804" s="1" t="s">
        <v>69</v>
      </c>
      <c r="C804" s="1" t="s">
        <v>27</v>
      </c>
      <c r="D804" s="1">
        <v>310.0</v>
      </c>
      <c r="E804" s="1">
        <v>270.0</v>
      </c>
      <c r="F804" s="1">
        <f t="shared" si="2"/>
        <v>-40</v>
      </c>
      <c r="G804" s="1">
        <f t="shared" si="3"/>
        <v>40</v>
      </c>
      <c r="H804" s="6">
        <f t="shared" si="4"/>
        <v>0.1290322581</v>
      </c>
      <c r="I804" s="6">
        <f t="shared" si="5"/>
        <v>0.8709677419</v>
      </c>
      <c r="J804" s="1">
        <f t="shared" si="6"/>
        <v>-40</v>
      </c>
      <c r="K804" s="1" t="str">
        <f t="shared" si="7"/>
        <v>Under Forecast</v>
      </c>
      <c r="L804" s="1">
        <f>F804</f>
        <v>-40</v>
      </c>
      <c r="M804" s="7">
        <f t="shared" si="10"/>
        <v>66.75217933</v>
      </c>
      <c r="N804" s="7">
        <f t="shared" si="8"/>
        <v>-0.599231372</v>
      </c>
      <c r="O804" s="2" t="str">
        <f t="shared" si="9"/>
        <v>Acceptable</v>
      </c>
    </row>
    <row r="805" ht="15.75" customHeight="1">
      <c r="A805" s="1" t="s">
        <v>95</v>
      </c>
      <c r="B805" s="1" t="s">
        <v>69</v>
      </c>
      <c r="C805" s="1" t="s">
        <v>28</v>
      </c>
      <c r="D805" s="1">
        <v>279.0</v>
      </c>
      <c r="E805" s="1">
        <v>294.0</v>
      </c>
      <c r="F805" s="1">
        <f t="shared" si="2"/>
        <v>15</v>
      </c>
      <c r="G805" s="1">
        <f t="shared" si="3"/>
        <v>15</v>
      </c>
      <c r="H805" s="6">
        <f t="shared" si="4"/>
        <v>0.05376344086</v>
      </c>
      <c r="I805" s="6">
        <f t="shared" si="5"/>
        <v>0.9462365591</v>
      </c>
      <c r="J805" s="1">
        <f t="shared" si="6"/>
        <v>15</v>
      </c>
      <c r="K805" s="1" t="str">
        <f t="shared" si="7"/>
        <v>Over Forecast</v>
      </c>
      <c r="L805" s="1">
        <f>F805+J804</f>
        <v>-25</v>
      </c>
      <c r="M805" s="7">
        <f t="shared" si="10"/>
        <v>66.68781095</v>
      </c>
      <c r="N805" s="7">
        <f t="shared" si="8"/>
        <v>-0.3748811011</v>
      </c>
      <c r="O805" s="2" t="str">
        <f t="shared" si="9"/>
        <v>Acceptable</v>
      </c>
    </row>
    <row r="806" ht="15.75" customHeight="1">
      <c r="A806" s="1" t="s">
        <v>96</v>
      </c>
      <c r="B806" s="1" t="s">
        <v>69</v>
      </c>
      <c r="C806" s="1" t="s">
        <v>17</v>
      </c>
      <c r="D806" s="1">
        <v>777.0</v>
      </c>
      <c r="E806" s="1">
        <v>674.0</v>
      </c>
      <c r="F806" s="1">
        <f t="shared" si="2"/>
        <v>-103</v>
      </c>
      <c r="G806" s="1">
        <f t="shared" si="3"/>
        <v>103</v>
      </c>
      <c r="H806" s="6">
        <f t="shared" si="4"/>
        <v>0.1325611326</v>
      </c>
      <c r="I806" s="6">
        <f t="shared" si="5"/>
        <v>0.8674388674</v>
      </c>
      <c r="J806" s="1">
        <f t="shared" si="6"/>
        <v>-103</v>
      </c>
      <c r="K806" s="1" t="str">
        <f t="shared" si="7"/>
        <v>Under Forecast</v>
      </c>
      <c r="L806" s="1">
        <f>F806</f>
        <v>-103</v>
      </c>
      <c r="M806" s="7">
        <f t="shared" si="10"/>
        <v>66.73291925</v>
      </c>
      <c r="N806" s="7">
        <f t="shared" si="8"/>
        <v>-1.543466121</v>
      </c>
      <c r="O806" s="2" t="str">
        <f t="shared" si="9"/>
        <v>Acceptable</v>
      </c>
    </row>
    <row r="807" ht="15.75" customHeight="1">
      <c r="A807" s="1" t="s">
        <v>96</v>
      </c>
      <c r="B807" s="1" t="s">
        <v>69</v>
      </c>
      <c r="C807" s="1" t="s">
        <v>18</v>
      </c>
      <c r="D807" s="1">
        <v>769.0</v>
      </c>
      <c r="E807" s="1">
        <v>883.0</v>
      </c>
      <c r="F807" s="1">
        <f t="shared" si="2"/>
        <v>114</v>
      </c>
      <c r="G807" s="1">
        <f t="shared" si="3"/>
        <v>114</v>
      </c>
      <c r="H807" s="6">
        <f t="shared" si="4"/>
        <v>0.1482444733</v>
      </c>
      <c r="I807" s="6">
        <f t="shared" si="5"/>
        <v>0.8517555267</v>
      </c>
      <c r="J807" s="1">
        <f t="shared" si="6"/>
        <v>114</v>
      </c>
      <c r="K807" s="1" t="str">
        <f t="shared" si="7"/>
        <v>Over Forecast</v>
      </c>
      <c r="L807" s="1">
        <f>F807+J806</f>
        <v>11</v>
      </c>
      <c r="M807" s="7">
        <f t="shared" si="10"/>
        <v>66.79156328</v>
      </c>
      <c r="N807" s="7">
        <f t="shared" si="8"/>
        <v>0.1646914589</v>
      </c>
      <c r="O807" s="2" t="str">
        <f t="shared" si="9"/>
        <v>Acceptable</v>
      </c>
    </row>
    <row r="808" ht="15.75" customHeight="1">
      <c r="A808" s="1" t="s">
        <v>96</v>
      </c>
      <c r="B808" s="1" t="s">
        <v>69</v>
      </c>
      <c r="C808" s="1" t="s">
        <v>19</v>
      </c>
      <c r="D808" s="1">
        <v>844.0</v>
      </c>
      <c r="E808" s="1">
        <v>873.0</v>
      </c>
      <c r="F808" s="1">
        <f t="shared" si="2"/>
        <v>29</v>
      </c>
      <c r="G808" s="1">
        <f t="shared" si="3"/>
        <v>29</v>
      </c>
      <c r="H808" s="6">
        <f t="shared" si="4"/>
        <v>0.03436018957</v>
      </c>
      <c r="I808" s="6">
        <f t="shared" si="5"/>
        <v>0.9656398104</v>
      </c>
      <c r="J808" s="1">
        <f t="shared" si="6"/>
        <v>29</v>
      </c>
      <c r="K808" s="1" t="str">
        <f t="shared" si="7"/>
        <v>Over Forecast</v>
      </c>
      <c r="L808" s="1">
        <f>F808</f>
        <v>29</v>
      </c>
      <c r="M808" s="7">
        <f t="shared" si="10"/>
        <v>66.74473358</v>
      </c>
      <c r="N808" s="7">
        <f t="shared" si="8"/>
        <v>0.4344912092</v>
      </c>
      <c r="O808" s="2" t="str">
        <f t="shared" si="9"/>
        <v>Acceptable</v>
      </c>
    </row>
    <row r="809" ht="15.75" customHeight="1">
      <c r="A809" s="1" t="s">
        <v>96</v>
      </c>
      <c r="B809" s="1" t="s">
        <v>69</v>
      </c>
      <c r="C809" s="1" t="s">
        <v>20</v>
      </c>
      <c r="D809" s="1">
        <v>781.0</v>
      </c>
      <c r="E809" s="1">
        <v>810.0</v>
      </c>
      <c r="F809" s="1">
        <f t="shared" si="2"/>
        <v>29</v>
      </c>
      <c r="G809" s="1">
        <f t="shared" si="3"/>
        <v>29</v>
      </c>
      <c r="H809" s="6">
        <f t="shared" si="4"/>
        <v>0.0371318822</v>
      </c>
      <c r="I809" s="6">
        <f t="shared" si="5"/>
        <v>0.9628681178</v>
      </c>
      <c r="J809" s="1">
        <f t="shared" si="6"/>
        <v>29</v>
      </c>
      <c r="K809" s="1" t="str">
        <f t="shared" si="7"/>
        <v>Over Forecast</v>
      </c>
      <c r="L809" s="1">
        <f>F809+J808</f>
        <v>58</v>
      </c>
      <c r="M809" s="7">
        <f t="shared" si="10"/>
        <v>66.6980198</v>
      </c>
      <c r="N809" s="7">
        <f t="shared" si="8"/>
        <v>0.8695910339</v>
      </c>
      <c r="O809" s="2" t="str">
        <f t="shared" si="9"/>
        <v>Acceptable</v>
      </c>
    </row>
    <row r="810" ht="15.75" customHeight="1">
      <c r="A810" s="1" t="s">
        <v>96</v>
      </c>
      <c r="B810" s="1" t="s">
        <v>69</v>
      </c>
      <c r="C810" s="1" t="s">
        <v>21</v>
      </c>
      <c r="D810" s="1">
        <v>835.0</v>
      </c>
      <c r="E810" s="1">
        <v>816.0</v>
      </c>
      <c r="F810" s="1">
        <f t="shared" si="2"/>
        <v>-19</v>
      </c>
      <c r="G810" s="1">
        <f t="shared" si="3"/>
        <v>19</v>
      </c>
      <c r="H810" s="6">
        <f t="shared" si="4"/>
        <v>0.02275449102</v>
      </c>
      <c r="I810" s="6">
        <f t="shared" si="5"/>
        <v>0.977245509</v>
      </c>
      <c r="J810" s="1">
        <f t="shared" si="6"/>
        <v>-19</v>
      </c>
      <c r="K810" s="1" t="str">
        <f t="shared" si="7"/>
        <v>Under Forecast</v>
      </c>
      <c r="L810" s="1">
        <f>F810</f>
        <v>-19</v>
      </c>
      <c r="M810" s="7">
        <f t="shared" si="10"/>
        <v>66.63906057</v>
      </c>
      <c r="N810" s="7">
        <f t="shared" si="8"/>
        <v>-0.285118065</v>
      </c>
      <c r="O810" s="2" t="str">
        <f t="shared" si="9"/>
        <v>Acceptable</v>
      </c>
    </row>
    <row r="811" ht="15.75" customHeight="1">
      <c r="A811" s="1" t="s">
        <v>96</v>
      </c>
      <c r="B811" s="1" t="s">
        <v>69</v>
      </c>
      <c r="C811" s="1" t="s">
        <v>22</v>
      </c>
      <c r="D811" s="1">
        <v>779.0</v>
      </c>
      <c r="E811" s="1">
        <v>869.0</v>
      </c>
      <c r="F811" s="1">
        <f t="shared" si="2"/>
        <v>90</v>
      </c>
      <c r="G811" s="1">
        <f t="shared" si="3"/>
        <v>90</v>
      </c>
      <c r="H811" s="6">
        <f t="shared" si="4"/>
        <v>0.1155327343</v>
      </c>
      <c r="I811" s="6">
        <f t="shared" si="5"/>
        <v>0.8844672657</v>
      </c>
      <c r="J811" s="1">
        <f t="shared" si="6"/>
        <v>90</v>
      </c>
      <c r="K811" s="1" t="str">
        <f t="shared" si="7"/>
        <v>Over Forecast</v>
      </c>
      <c r="L811" s="1">
        <f>F811+J810</f>
        <v>71</v>
      </c>
      <c r="M811" s="7">
        <f t="shared" si="10"/>
        <v>66.66790123</v>
      </c>
      <c r="N811" s="7">
        <f t="shared" si="8"/>
        <v>1.064980278</v>
      </c>
      <c r="O811" s="2" t="str">
        <f t="shared" si="9"/>
        <v>Acceptable</v>
      </c>
    </row>
    <row r="812" ht="15.75" customHeight="1">
      <c r="A812" s="1" t="s">
        <v>96</v>
      </c>
      <c r="B812" s="1" t="s">
        <v>69</v>
      </c>
      <c r="C812" s="1" t="s">
        <v>23</v>
      </c>
      <c r="D812" s="1">
        <v>843.0</v>
      </c>
      <c r="E812" s="1">
        <v>765.0</v>
      </c>
      <c r="F812" s="1">
        <f t="shared" si="2"/>
        <v>-78</v>
      </c>
      <c r="G812" s="1">
        <f t="shared" si="3"/>
        <v>78</v>
      </c>
      <c r="H812" s="6">
        <f t="shared" si="4"/>
        <v>0.09252669039</v>
      </c>
      <c r="I812" s="6">
        <f t="shared" si="5"/>
        <v>0.9074733096</v>
      </c>
      <c r="J812" s="1">
        <f t="shared" si="6"/>
        <v>-78</v>
      </c>
      <c r="K812" s="1" t="str">
        <f t="shared" si="7"/>
        <v>Under Forecast</v>
      </c>
      <c r="L812" s="1">
        <f>F812</f>
        <v>-78</v>
      </c>
      <c r="M812" s="7">
        <f t="shared" si="10"/>
        <v>66.68187423</v>
      </c>
      <c r="N812" s="7">
        <f t="shared" si="8"/>
        <v>-1.169733168</v>
      </c>
      <c r="O812" s="2" t="str">
        <f t="shared" si="9"/>
        <v>Acceptable</v>
      </c>
    </row>
    <row r="813" ht="15.75" customHeight="1">
      <c r="A813" s="1" t="s">
        <v>96</v>
      </c>
      <c r="B813" s="1" t="s">
        <v>69</v>
      </c>
      <c r="C813" s="1" t="s">
        <v>24</v>
      </c>
      <c r="D813" s="1">
        <v>794.0</v>
      </c>
      <c r="E813" s="1">
        <v>773.0</v>
      </c>
      <c r="F813" s="1">
        <f t="shared" si="2"/>
        <v>-21</v>
      </c>
      <c r="G813" s="1">
        <f t="shared" si="3"/>
        <v>21</v>
      </c>
      <c r="H813" s="6">
        <f t="shared" si="4"/>
        <v>0.02644836272</v>
      </c>
      <c r="I813" s="6">
        <f t="shared" si="5"/>
        <v>0.9735516373</v>
      </c>
      <c r="J813" s="1">
        <f t="shared" si="6"/>
        <v>-21</v>
      </c>
      <c r="K813" s="1" t="str">
        <f t="shared" si="7"/>
        <v>Under Forecast</v>
      </c>
      <c r="L813" s="1">
        <f>F813+J812</f>
        <v>-99</v>
      </c>
      <c r="M813" s="7">
        <f t="shared" si="10"/>
        <v>66.62561576</v>
      </c>
      <c r="N813" s="7">
        <f t="shared" si="8"/>
        <v>-1.485914972</v>
      </c>
      <c r="O813" s="2" t="str">
        <f t="shared" si="9"/>
        <v>Acceptable</v>
      </c>
    </row>
    <row r="814" ht="15.75" customHeight="1">
      <c r="A814" s="1" t="s">
        <v>96</v>
      </c>
      <c r="B814" s="1" t="s">
        <v>69</v>
      </c>
      <c r="C814" s="1" t="s">
        <v>25</v>
      </c>
      <c r="D814" s="1">
        <v>816.0</v>
      </c>
      <c r="E814" s="1">
        <v>873.0</v>
      </c>
      <c r="F814" s="1">
        <f t="shared" si="2"/>
        <v>57</v>
      </c>
      <c r="G814" s="1">
        <f t="shared" si="3"/>
        <v>57</v>
      </c>
      <c r="H814" s="6">
        <f t="shared" si="4"/>
        <v>0.06985294118</v>
      </c>
      <c r="I814" s="6">
        <f t="shared" si="5"/>
        <v>0.9301470588</v>
      </c>
      <c r="J814" s="1">
        <f t="shared" si="6"/>
        <v>57</v>
      </c>
      <c r="K814" s="1" t="str">
        <f t="shared" si="7"/>
        <v>Over Forecast</v>
      </c>
      <c r="L814" s="1">
        <f>F814</f>
        <v>57</v>
      </c>
      <c r="M814" s="7">
        <f t="shared" si="10"/>
        <v>66.61377614</v>
      </c>
      <c r="N814" s="7">
        <f t="shared" si="8"/>
        <v>0.8556788596</v>
      </c>
      <c r="O814" s="2" t="str">
        <f t="shared" si="9"/>
        <v>Acceptable</v>
      </c>
    </row>
    <row r="815" ht="15.75" customHeight="1">
      <c r="A815" s="1" t="s">
        <v>96</v>
      </c>
      <c r="B815" s="1" t="s">
        <v>69</v>
      </c>
      <c r="C815" s="1" t="s">
        <v>26</v>
      </c>
      <c r="D815" s="1">
        <v>787.0</v>
      </c>
      <c r="E815" s="1">
        <v>671.0</v>
      </c>
      <c r="F815" s="1">
        <f t="shared" si="2"/>
        <v>-116</v>
      </c>
      <c r="G815" s="1">
        <f t="shared" si="3"/>
        <v>116</v>
      </c>
      <c r="H815" s="6">
        <f t="shared" si="4"/>
        <v>0.1473951715</v>
      </c>
      <c r="I815" s="6">
        <f t="shared" si="5"/>
        <v>0.8526048285</v>
      </c>
      <c r="J815" s="1">
        <f t="shared" si="6"/>
        <v>-116</v>
      </c>
      <c r="K815" s="1" t="str">
        <f t="shared" si="7"/>
        <v>Under Forecast</v>
      </c>
      <c r="L815" s="1">
        <f>F815+J814</f>
        <v>-59</v>
      </c>
      <c r="M815" s="7">
        <f t="shared" si="10"/>
        <v>66.67444717</v>
      </c>
      <c r="N815" s="7">
        <f t="shared" si="8"/>
        <v>-0.8848967258</v>
      </c>
      <c r="O815" s="2" t="str">
        <f t="shared" si="9"/>
        <v>Acceptable</v>
      </c>
    </row>
    <row r="816" ht="15.75" customHeight="1">
      <c r="A816" s="1" t="s">
        <v>96</v>
      </c>
      <c r="B816" s="1" t="s">
        <v>69</v>
      </c>
      <c r="C816" s="1" t="s">
        <v>27</v>
      </c>
      <c r="D816" s="1">
        <v>715.0</v>
      </c>
      <c r="E816" s="1">
        <v>710.0</v>
      </c>
      <c r="F816" s="1">
        <f t="shared" si="2"/>
        <v>-5</v>
      </c>
      <c r="G816" s="1">
        <f t="shared" si="3"/>
        <v>5</v>
      </c>
      <c r="H816" s="6">
        <f t="shared" si="4"/>
        <v>0.006993006993</v>
      </c>
      <c r="I816" s="6">
        <f t="shared" si="5"/>
        <v>0.993006993</v>
      </c>
      <c r="J816" s="1">
        <f t="shared" si="6"/>
        <v>-5</v>
      </c>
      <c r="K816" s="1" t="str">
        <f t="shared" si="7"/>
        <v>Under Forecast</v>
      </c>
      <c r="L816" s="1">
        <f>F816</f>
        <v>-5</v>
      </c>
      <c r="M816" s="7">
        <f t="shared" si="10"/>
        <v>66.59877301</v>
      </c>
      <c r="N816" s="7">
        <f t="shared" si="8"/>
        <v>-0.07507645823</v>
      </c>
      <c r="O816" s="2" t="str">
        <f t="shared" si="9"/>
        <v>Acceptable</v>
      </c>
    </row>
    <row r="817" ht="15.75" customHeight="1">
      <c r="A817" s="1" t="s">
        <v>96</v>
      </c>
      <c r="B817" s="1" t="s">
        <v>69</v>
      </c>
      <c r="C817" s="1" t="s">
        <v>28</v>
      </c>
      <c r="D817" s="1">
        <v>633.0</v>
      </c>
      <c r="E817" s="1">
        <v>587.0</v>
      </c>
      <c r="F817" s="1">
        <f t="shared" si="2"/>
        <v>-46</v>
      </c>
      <c r="G817" s="1">
        <f t="shared" si="3"/>
        <v>46</v>
      </c>
      <c r="H817" s="6">
        <f t="shared" si="4"/>
        <v>0.07266982622</v>
      </c>
      <c r="I817" s="6">
        <f t="shared" si="5"/>
        <v>0.9273301738</v>
      </c>
      <c r="J817" s="1">
        <f t="shared" si="6"/>
        <v>-46</v>
      </c>
      <c r="K817" s="1" t="str">
        <f t="shared" si="7"/>
        <v>Under Forecast</v>
      </c>
      <c r="L817" s="1">
        <f>F817+J816</f>
        <v>-51</v>
      </c>
      <c r="M817" s="7">
        <f t="shared" si="10"/>
        <v>66.57352941</v>
      </c>
      <c r="N817" s="7">
        <f t="shared" si="8"/>
        <v>-0.7660702452</v>
      </c>
      <c r="O817" s="2" t="str">
        <f t="shared" si="9"/>
        <v>Acceptable</v>
      </c>
    </row>
    <row r="818" ht="15.75" customHeight="1">
      <c r="A818" s="1" t="s">
        <v>97</v>
      </c>
      <c r="B818" s="1" t="s">
        <v>69</v>
      </c>
      <c r="C818" s="1" t="s">
        <v>17</v>
      </c>
      <c r="D818" s="1">
        <v>396.0</v>
      </c>
      <c r="E818" s="1">
        <v>410.0</v>
      </c>
      <c r="F818" s="1">
        <f t="shared" si="2"/>
        <v>14</v>
      </c>
      <c r="G818" s="1">
        <f t="shared" si="3"/>
        <v>14</v>
      </c>
      <c r="H818" s="6">
        <f t="shared" si="4"/>
        <v>0.03535353535</v>
      </c>
      <c r="I818" s="6">
        <f t="shared" si="5"/>
        <v>0.9646464646</v>
      </c>
      <c r="J818" s="1">
        <f t="shared" si="6"/>
        <v>14</v>
      </c>
      <c r="K818" s="1" t="str">
        <f t="shared" si="7"/>
        <v>Over Forecast</v>
      </c>
      <c r="L818" s="1">
        <f>F818</f>
        <v>14</v>
      </c>
      <c r="M818" s="7">
        <f t="shared" si="10"/>
        <v>66.50917993</v>
      </c>
      <c r="N818" s="7">
        <f t="shared" si="8"/>
        <v>0.2104972579</v>
      </c>
      <c r="O818" s="2" t="str">
        <f t="shared" si="9"/>
        <v>Acceptable</v>
      </c>
    </row>
    <row r="819" ht="15.75" customHeight="1">
      <c r="A819" s="1" t="s">
        <v>97</v>
      </c>
      <c r="B819" s="1" t="s">
        <v>69</v>
      </c>
      <c r="C819" s="1" t="s">
        <v>18</v>
      </c>
      <c r="D819" s="1">
        <v>427.0</v>
      </c>
      <c r="E819" s="1">
        <v>469.0</v>
      </c>
      <c r="F819" s="1">
        <f t="shared" si="2"/>
        <v>42</v>
      </c>
      <c r="G819" s="1">
        <f t="shared" si="3"/>
        <v>42</v>
      </c>
      <c r="H819" s="6">
        <f t="shared" si="4"/>
        <v>0.09836065574</v>
      </c>
      <c r="I819" s="6">
        <f t="shared" si="5"/>
        <v>0.9016393443</v>
      </c>
      <c r="J819" s="1">
        <f t="shared" si="6"/>
        <v>42</v>
      </c>
      <c r="K819" s="1" t="str">
        <f t="shared" si="7"/>
        <v>Over Forecast</v>
      </c>
      <c r="L819" s="1">
        <f>F819+J818</f>
        <v>56</v>
      </c>
      <c r="M819" s="7">
        <f t="shared" si="10"/>
        <v>66.4792176</v>
      </c>
      <c r="N819" s="7">
        <f t="shared" si="8"/>
        <v>0.8423685178</v>
      </c>
      <c r="O819" s="2" t="str">
        <f t="shared" si="9"/>
        <v>Acceptable</v>
      </c>
    </row>
    <row r="820" ht="15.75" customHeight="1">
      <c r="A820" s="1" t="s">
        <v>97</v>
      </c>
      <c r="B820" s="1" t="s">
        <v>69</v>
      </c>
      <c r="C820" s="1" t="s">
        <v>19</v>
      </c>
      <c r="D820" s="1">
        <v>481.0</v>
      </c>
      <c r="E820" s="1">
        <v>437.0</v>
      </c>
      <c r="F820" s="1">
        <f t="shared" si="2"/>
        <v>-44</v>
      </c>
      <c r="G820" s="1">
        <f t="shared" si="3"/>
        <v>44</v>
      </c>
      <c r="H820" s="6">
        <f t="shared" si="4"/>
        <v>0.09147609148</v>
      </c>
      <c r="I820" s="6">
        <f t="shared" si="5"/>
        <v>0.9085239085</v>
      </c>
      <c r="J820" s="1">
        <f t="shared" si="6"/>
        <v>-44</v>
      </c>
      <c r="K820" s="1" t="str">
        <f t="shared" si="7"/>
        <v>Under Forecast</v>
      </c>
      <c r="L820" s="1">
        <f>F820</f>
        <v>-44</v>
      </c>
      <c r="M820" s="7">
        <f t="shared" si="10"/>
        <v>66.45177045</v>
      </c>
      <c r="N820" s="7">
        <f t="shared" si="8"/>
        <v>-0.6621343525</v>
      </c>
      <c r="O820" s="2" t="str">
        <f t="shared" si="9"/>
        <v>Acceptable</v>
      </c>
    </row>
    <row r="821" ht="15.75" customHeight="1">
      <c r="A821" s="1" t="s">
        <v>97</v>
      </c>
      <c r="B821" s="1" t="s">
        <v>69</v>
      </c>
      <c r="C821" s="1" t="s">
        <v>20</v>
      </c>
      <c r="D821" s="1">
        <v>448.0</v>
      </c>
      <c r="E821" s="1">
        <v>386.0</v>
      </c>
      <c r="F821" s="1">
        <f t="shared" si="2"/>
        <v>-62</v>
      </c>
      <c r="G821" s="1">
        <f t="shared" si="3"/>
        <v>62</v>
      </c>
      <c r="H821" s="6">
        <f t="shared" si="4"/>
        <v>0.1383928571</v>
      </c>
      <c r="I821" s="6">
        <f t="shared" si="5"/>
        <v>0.8616071429</v>
      </c>
      <c r="J821" s="1">
        <f t="shared" si="6"/>
        <v>-62</v>
      </c>
      <c r="K821" s="1" t="str">
        <f t="shared" si="7"/>
        <v>Under Forecast</v>
      </c>
      <c r="L821" s="1">
        <f>F821+J820</f>
        <v>-106</v>
      </c>
      <c r="M821" s="7">
        <f t="shared" si="10"/>
        <v>66.44634146</v>
      </c>
      <c r="N821" s="7">
        <f t="shared" si="8"/>
        <v>-1.59527218</v>
      </c>
      <c r="O821" s="2" t="str">
        <f t="shared" si="9"/>
        <v>Acceptable</v>
      </c>
    </row>
    <row r="822" ht="15.75" customHeight="1">
      <c r="A822" s="1" t="s">
        <v>97</v>
      </c>
      <c r="B822" s="1" t="s">
        <v>69</v>
      </c>
      <c r="C822" s="1" t="s">
        <v>21</v>
      </c>
      <c r="D822" s="1">
        <v>500.0</v>
      </c>
      <c r="E822" s="1">
        <v>464.0</v>
      </c>
      <c r="F822" s="1">
        <f t="shared" si="2"/>
        <v>-36</v>
      </c>
      <c r="G822" s="1">
        <f t="shared" si="3"/>
        <v>36</v>
      </c>
      <c r="H822" s="6">
        <f t="shared" si="4"/>
        <v>0.072</v>
      </c>
      <c r="I822" s="6">
        <f t="shared" si="5"/>
        <v>0.928</v>
      </c>
      <c r="J822" s="1">
        <f t="shared" si="6"/>
        <v>-36</v>
      </c>
      <c r="K822" s="1" t="str">
        <f t="shared" si="7"/>
        <v>Under Forecast</v>
      </c>
      <c r="L822" s="1">
        <f>F822</f>
        <v>-36</v>
      </c>
      <c r="M822" s="7">
        <f t="shared" si="10"/>
        <v>66.409257</v>
      </c>
      <c r="N822" s="7">
        <f t="shared" si="8"/>
        <v>-0.5420931</v>
      </c>
      <c r="O822" s="2" t="str">
        <f t="shared" si="9"/>
        <v>Acceptable</v>
      </c>
    </row>
    <row r="823" ht="15.75" customHeight="1">
      <c r="A823" s="1" t="s">
        <v>97</v>
      </c>
      <c r="B823" s="1" t="s">
        <v>69</v>
      </c>
      <c r="C823" s="1" t="s">
        <v>22</v>
      </c>
      <c r="D823" s="1">
        <v>548.0</v>
      </c>
      <c r="E823" s="1">
        <v>547.0</v>
      </c>
      <c r="F823" s="1">
        <f t="shared" si="2"/>
        <v>-1</v>
      </c>
      <c r="G823" s="1">
        <f t="shared" si="3"/>
        <v>1</v>
      </c>
      <c r="H823" s="6">
        <f t="shared" si="4"/>
        <v>0.001824817518</v>
      </c>
      <c r="I823" s="6">
        <f t="shared" si="5"/>
        <v>0.9981751825</v>
      </c>
      <c r="J823" s="1">
        <f t="shared" si="6"/>
        <v>-1</v>
      </c>
      <c r="K823" s="1" t="str">
        <f t="shared" si="7"/>
        <v>Under Forecast</v>
      </c>
      <c r="L823" s="1">
        <f>F823+J822</f>
        <v>-37</v>
      </c>
      <c r="M823" s="7">
        <f t="shared" si="10"/>
        <v>66.3296837</v>
      </c>
      <c r="N823" s="7">
        <f t="shared" si="8"/>
        <v>-0.5578196358</v>
      </c>
      <c r="O823" s="2" t="str">
        <f t="shared" si="9"/>
        <v>Acceptable</v>
      </c>
    </row>
    <row r="824" ht="15.75" customHeight="1">
      <c r="A824" s="1" t="s">
        <v>97</v>
      </c>
      <c r="B824" s="1" t="s">
        <v>69</v>
      </c>
      <c r="C824" s="1" t="s">
        <v>23</v>
      </c>
      <c r="D824" s="1">
        <v>525.0</v>
      </c>
      <c r="E824" s="1">
        <v>469.0</v>
      </c>
      <c r="F824" s="1">
        <f t="shared" si="2"/>
        <v>-56</v>
      </c>
      <c r="G824" s="1">
        <f t="shared" si="3"/>
        <v>56</v>
      </c>
      <c r="H824" s="6">
        <f t="shared" si="4"/>
        <v>0.1066666667</v>
      </c>
      <c r="I824" s="6">
        <f t="shared" si="5"/>
        <v>0.8933333333</v>
      </c>
      <c r="J824" s="1">
        <f t="shared" si="6"/>
        <v>-56</v>
      </c>
      <c r="K824" s="1" t="str">
        <f t="shared" si="7"/>
        <v>Under Forecast</v>
      </c>
      <c r="L824" s="1">
        <f>F824</f>
        <v>-56</v>
      </c>
      <c r="M824" s="7">
        <f t="shared" si="10"/>
        <v>66.31713244</v>
      </c>
      <c r="N824" s="7">
        <f t="shared" si="8"/>
        <v>-0.8444273439</v>
      </c>
      <c r="O824" s="2" t="str">
        <f t="shared" si="9"/>
        <v>Acceptable</v>
      </c>
    </row>
    <row r="825" ht="15.75" customHeight="1">
      <c r="A825" s="1" t="s">
        <v>97</v>
      </c>
      <c r="B825" s="1" t="s">
        <v>69</v>
      </c>
      <c r="C825" s="1" t="s">
        <v>24</v>
      </c>
      <c r="D825" s="1">
        <v>500.0</v>
      </c>
      <c r="E825" s="1">
        <v>554.0</v>
      </c>
      <c r="F825" s="1">
        <f t="shared" si="2"/>
        <v>54</v>
      </c>
      <c r="G825" s="1">
        <f t="shared" si="3"/>
        <v>54</v>
      </c>
      <c r="H825" s="6">
        <f t="shared" si="4"/>
        <v>0.108</v>
      </c>
      <c r="I825" s="6">
        <f t="shared" si="5"/>
        <v>0.892</v>
      </c>
      <c r="J825" s="1">
        <f t="shared" si="6"/>
        <v>54</v>
      </c>
      <c r="K825" s="1" t="str">
        <f t="shared" si="7"/>
        <v>Over Forecast</v>
      </c>
      <c r="L825" s="1">
        <f>F825+J824</f>
        <v>-2</v>
      </c>
      <c r="M825" s="7">
        <f t="shared" si="10"/>
        <v>66.30218447</v>
      </c>
      <c r="N825" s="7">
        <f t="shared" si="8"/>
        <v>-0.03016491864</v>
      </c>
      <c r="O825" s="2" t="str">
        <f t="shared" si="9"/>
        <v>Acceptable</v>
      </c>
    </row>
    <row r="826" ht="15.75" customHeight="1">
      <c r="A826" s="1" t="s">
        <v>97</v>
      </c>
      <c r="B826" s="1" t="s">
        <v>69</v>
      </c>
      <c r="C826" s="1" t="s">
        <v>25</v>
      </c>
      <c r="D826" s="1">
        <v>493.0</v>
      </c>
      <c r="E826" s="1">
        <v>515.0</v>
      </c>
      <c r="F826" s="1">
        <f t="shared" si="2"/>
        <v>22</v>
      </c>
      <c r="G826" s="1">
        <f t="shared" si="3"/>
        <v>22</v>
      </c>
      <c r="H826" s="6">
        <f t="shared" si="4"/>
        <v>0.04462474645</v>
      </c>
      <c r="I826" s="6">
        <f t="shared" si="5"/>
        <v>0.9553752535</v>
      </c>
      <c r="J826" s="1">
        <f t="shared" si="6"/>
        <v>22</v>
      </c>
      <c r="K826" s="1" t="str">
        <f t="shared" si="7"/>
        <v>Over Forecast</v>
      </c>
      <c r="L826" s="1">
        <f>F826</f>
        <v>22</v>
      </c>
      <c r="M826" s="7">
        <f t="shared" si="10"/>
        <v>66.24848485</v>
      </c>
      <c r="N826" s="7">
        <f t="shared" si="8"/>
        <v>0.3320830665</v>
      </c>
      <c r="O826" s="2" t="str">
        <f t="shared" si="9"/>
        <v>Acceptable</v>
      </c>
    </row>
    <row r="827" ht="15.75" customHeight="1">
      <c r="A827" s="1" t="s">
        <v>97</v>
      </c>
      <c r="B827" s="1" t="s">
        <v>69</v>
      </c>
      <c r="C827" s="1" t="s">
        <v>26</v>
      </c>
      <c r="D827" s="1">
        <v>550.0</v>
      </c>
      <c r="E827" s="1">
        <v>568.0</v>
      </c>
      <c r="F827" s="1">
        <f t="shared" si="2"/>
        <v>18</v>
      </c>
      <c r="G827" s="1">
        <f t="shared" si="3"/>
        <v>18</v>
      </c>
      <c r="H827" s="6">
        <f t="shared" si="4"/>
        <v>0.03272727273</v>
      </c>
      <c r="I827" s="6">
        <f t="shared" si="5"/>
        <v>0.9672727273</v>
      </c>
      <c r="J827" s="1">
        <f t="shared" si="6"/>
        <v>18</v>
      </c>
      <c r="K827" s="1" t="str">
        <f t="shared" si="7"/>
        <v>Over Forecast</v>
      </c>
      <c r="L827" s="1">
        <f>F827+J826</f>
        <v>40</v>
      </c>
      <c r="M827" s="7">
        <f t="shared" si="10"/>
        <v>66.19007264</v>
      </c>
      <c r="N827" s="7">
        <f t="shared" si="8"/>
        <v>0.6043202312</v>
      </c>
      <c r="O827" s="2" t="str">
        <f t="shared" si="9"/>
        <v>Acceptable</v>
      </c>
    </row>
    <row r="828" ht="15.75" customHeight="1">
      <c r="A828" s="1" t="s">
        <v>97</v>
      </c>
      <c r="B828" s="1" t="s">
        <v>69</v>
      </c>
      <c r="C828" s="1" t="s">
        <v>27</v>
      </c>
      <c r="D828" s="1">
        <v>554.0</v>
      </c>
      <c r="E828" s="1">
        <v>536.0</v>
      </c>
      <c r="F828" s="1">
        <f t="shared" si="2"/>
        <v>-18</v>
      </c>
      <c r="G828" s="1">
        <f t="shared" si="3"/>
        <v>18</v>
      </c>
      <c r="H828" s="6">
        <f t="shared" si="4"/>
        <v>0.03249097473</v>
      </c>
      <c r="I828" s="6">
        <f t="shared" si="5"/>
        <v>0.9675090253</v>
      </c>
      <c r="J828" s="1">
        <f t="shared" si="6"/>
        <v>-18</v>
      </c>
      <c r="K828" s="1" t="str">
        <f t="shared" si="7"/>
        <v>Under Forecast</v>
      </c>
      <c r="L828" s="1">
        <f>F828</f>
        <v>-18</v>
      </c>
      <c r="M828" s="7">
        <f t="shared" si="10"/>
        <v>66.13180169</v>
      </c>
      <c r="N828" s="7">
        <f t="shared" si="8"/>
        <v>-0.2721837231</v>
      </c>
      <c r="O828" s="2" t="str">
        <f t="shared" si="9"/>
        <v>Acceptable</v>
      </c>
    </row>
    <row r="829" ht="15.75" customHeight="1">
      <c r="A829" s="1" t="s">
        <v>97</v>
      </c>
      <c r="B829" s="1" t="s">
        <v>69</v>
      </c>
      <c r="C829" s="1" t="s">
        <v>28</v>
      </c>
      <c r="D829" s="1">
        <v>556.0</v>
      </c>
      <c r="E829" s="1">
        <v>494.0</v>
      </c>
      <c r="F829" s="1">
        <f t="shared" si="2"/>
        <v>-62</v>
      </c>
      <c r="G829" s="1">
        <f t="shared" si="3"/>
        <v>62</v>
      </c>
      <c r="H829" s="6">
        <f t="shared" si="4"/>
        <v>0.1115107914</v>
      </c>
      <c r="I829" s="6">
        <f t="shared" si="5"/>
        <v>0.8884892086</v>
      </c>
      <c r="J829" s="1">
        <f t="shared" si="6"/>
        <v>-62</v>
      </c>
      <c r="K829" s="1" t="str">
        <f t="shared" si="7"/>
        <v>Under Forecast</v>
      </c>
      <c r="L829" s="1">
        <f>F829+J828</f>
        <v>-80</v>
      </c>
      <c r="M829" s="7">
        <f t="shared" si="10"/>
        <v>66.12681159</v>
      </c>
      <c r="N829" s="7">
        <f t="shared" si="8"/>
        <v>-1.209796723</v>
      </c>
      <c r="O829" s="2" t="str">
        <f t="shared" si="9"/>
        <v>Acceptable</v>
      </c>
    </row>
    <row r="830" ht="15.75" customHeight="1">
      <c r="A830" s="1" t="s">
        <v>98</v>
      </c>
      <c r="B830" s="1" t="s">
        <v>69</v>
      </c>
      <c r="C830" s="1" t="s">
        <v>17</v>
      </c>
      <c r="D830" s="1">
        <v>458.0</v>
      </c>
      <c r="E830" s="1">
        <v>470.0</v>
      </c>
      <c r="F830" s="1">
        <f t="shared" si="2"/>
        <v>12</v>
      </c>
      <c r="G830" s="1">
        <f t="shared" si="3"/>
        <v>12</v>
      </c>
      <c r="H830" s="6">
        <f t="shared" si="4"/>
        <v>0.02620087336</v>
      </c>
      <c r="I830" s="6">
        <f t="shared" si="5"/>
        <v>0.9737991266</v>
      </c>
      <c r="J830" s="1">
        <f t="shared" si="6"/>
        <v>12</v>
      </c>
      <c r="K830" s="1" t="str">
        <f t="shared" si="7"/>
        <v>Over Forecast</v>
      </c>
      <c r="L830" s="1">
        <f>F830</f>
        <v>12</v>
      </c>
      <c r="M830" s="7">
        <f t="shared" si="10"/>
        <v>66.0615199</v>
      </c>
      <c r="N830" s="7">
        <f t="shared" si="8"/>
        <v>0.1816488633</v>
      </c>
      <c r="O830" s="2" t="str">
        <f t="shared" si="9"/>
        <v>Acceptable</v>
      </c>
    </row>
    <row r="831" ht="15.75" customHeight="1">
      <c r="A831" s="1" t="s">
        <v>98</v>
      </c>
      <c r="B831" s="1" t="s">
        <v>69</v>
      </c>
      <c r="C831" s="1" t="s">
        <v>18</v>
      </c>
      <c r="D831" s="1">
        <v>495.0</v>
      </c>
      <c r="E831" s="1">
        <v>443.0</v>
      </c>
      <c r="F831" s="1">
        <f t="shared" si="2"/>
        <v>-52</v>
      </c>
      <c r="G831" s="1">
        <f t="shared" si="3"/>
        <v>52</v>
      </c>
      <c r="H831" s="6">
        <f t="shared" si="4"/>
        <v>0.1050505051</v>
      </c>
      <c r="I831" s="6">
        <f t="shared" si="5"/>
        <v>0.8949494949</v>
      </c>
      <c r="J831" s="1">
        <f t="shared" si="6"/>
        <v>-52</v>
      </c>
      <c r="K831" s="1" t="str">
        <f t="shared" si="7"/>
        <v>Under Forecast</v>
      </c>
      <c r="L831" s="1">
        <f>F831+J830</f>
        <v>-40</v>
      </c>
      <c r="M831" s="7">
        <f t="shared" si="10"/>
        <v>66.04457831</v>
      </c>
      <c r="N831" s="7">
        <f t="shared" si="8"/>
        <v>-0.6056515315</v>
      </c>
      <c r="O831" s="2" t="str">
        <f t="shared" si="9"/>
        <v>Acceptable</v>
      </c>
    </row>
    <row r="832" ht="15.75" customHeight="1">
      <c r="A832" s="1" t="s">
        <v>98</v>
      </c>
      <c r="B832" s="1" t="s">
        <v>69</v>
      </c>
      <c r="C832" s="1" t="s">
        <v>19</v>
      </c>
      <c r="D832" s="1">
        <v>570.0</v>
      </c>
      <c r="E832" s="1">
        <v>473.0</v>
      </c>
      <c r="F832" s="1">
        <f t="shared" si="2"/>
        <v>-97</v>
      </c>
      <c r="G832" s="1">
        <f t="shared" si="3"/>
        <v>97</v>
      </c>
      <c r="H832" s="6">
        <f t="shared" si="4"/>
        <v>0.1701754386</v>
      </c>
      <c r="I832" s="6">
        <f t="shared" si="5"/>
        <v>0.8298245614</v>
      </c>
      <c r="J832" s="1">
        <f t="shared" si="6"/>
        <v>-97</v>
      </c>
      <c r="K832" s="1" t="str">
        <f t="shared" si="7"/>
        <v>Under Forecast</v>
      </c>
      <c r="L832" s="1">
        <f>F832</f>
        <v>-97</v>
      </c>
      <c r="M832" s="7">
        <f t="shared" si="10"/>
        <v>66.08182912</v>
      </c>
      <c r="N832" s="7">
        <f t="shared" si="8"/>
        <v>-1.467877044</v>
      </c>
      <c r="O832" s="2" t="str">
        <f t="shared" si="9"/>
        <v>Acceptable</v>
      </c>
    </row>
    <row r="833" ht="15.75" customHeight="1">
      <c r="A833" s="1" t="s">
        <v>98</v>
      </c>
      <c r="B833" s="1" t="s">
        <v>69</v>
      </c>
      <c r="C833" s="1" t="s">
        <v>20</v>
      </c>
      <c r="D833" s="1">
        <v>606.0</v>
      </c>
      <c r="E833" s="1">
        <v>580.0</v>
      </c>
      <c r="F833" s="1">
        <f t="shared" si="2"/>
        <v>-26</v>
      </c>
      <c r="G833" s="1">
        <f t="shared" si="3"/>
        <v>26</v>
      </c>
      <c r="H833" s="6">
        <f t="shared" si="4"/>
        <v>0.04290429043</v>
      </c>
      <c r="I833" s="6">
        <f t="shared" si="5"/>
        <v>0.9570957096</v>
      </c>
      <c r="J833" s="1">
        <f t="shared" si="6"/>
        <v>-26</v>
      </c>
      <c r="K833" s="1" t="str">
        <f t="shared" si="7"/>
        <v>Under Forecast</v>
      </c>
      <c r="L833" s="1">
        <f>F833+J832</f>
        <v>-123</v>
      </c>
      <c r="M833" s="7">
        <f t="shared" si="10"/>
        <v>66.03365385</v>
      </c>
      <c r="N833" s="7">
        <f t="shared" si="8"/>
        <v>-1.862686567</v>
      </c>
      <c r="O833" s="2" t="str">
        <f t="shared" si="9"/>
        <v>Acceptable</v>
      </c>
    </row>
    <row r="834" ht="15.75" customHeight="1">
      <c r="A834" s="1" t="s">
        <v>98</v>
      </c>
      <c r="B834" s="1" t="s">
        <v>69</v>
      </c>
      <c r="C834" s="1" t="s">
        <v>21</v>
      </c>
      <c r="D834" s="1">
        <v>605.0</v>
      </c>
      <c r="E834" s="1">
        <v>615.0</v>
      </c>
      <c r="F834" s="1">
        <f t="shared" si="2"/>
        <v>10</v>
      </c>
      <c r="G834" s="1">
        <f t="shared" si="3"/>
        <v>10</v>
      </c>
      <c r="H834" s="6">
        <f t="shared" si="4"/>
        <v>0.01652892562</v>
      </c>
      <c r="I834" s="6">
        <f t="shared" si="5"/>
        <v>0.9834710744</v>
      </c>
      <c r="J834" s="1">
        <f t="shared" si="6"/>
        <v>10</v>
      </c>
      <c r="K834" s="1" t="str">
        <f t="shared" si="7"/>
        <v>Over Forecast</v>
      </c>
      <c r="L834" s="1">
        <f>F834</f>
        <v>10</v>
      </c>
      <c r="M834" s="7">
        <f t="shared" si="10"/>
        <v>65.96638655</v>
      </c>
      <c r="N834" s="7">
        <f t="shared" si="8"/>
        <v>0.1515923567</v>
      </c>
      <c r="O834" s="2" t="str">
        <f t="shared" si="9"/>
        <v>Acceptable</v>
      </c>
    </row>
    <row r="835" ht="15.75" customHeight="1">
      <c r="A835" s="1" t="s">
        <v>98</v>
      </c>
      <c r="B835" s="1" t="s">
        <v>69</v>
      </c>
      <c r="C835" s="1" t="s">
        <v>22</v>
      </c>
      <c r="D835" s="1">
        <v>662.0</v>
      </c>
      <c r="E835" s="1">
        <v>669.0</v>
      </c>
      <c r="F835" s="1">
        <f t="shared" si="2"/>
        <v>7</v>
      </c>
      <c r="G835" s="1">
        <f t="shared" si="3"/>
        <v>7</v>
      </c>
      <c r="H835" s="6">
        <f t="shared" si="4"/>
        <v>0.01057401813</v>
      </c>
      <c r="I835" s="6">
        <f t="shared" si="5"/>
        <v>0.9894259819</v>
      </c>
      <c r="J835" s="1">
        <f t="shared" si="6"/>
        <v>7</v>
      </c>
      <c r="K835" s="1" t="str">
        <f t="shared" si="7"/>
        <v>Over Forecast</v>
      </c>
      <c r="L835" s="1">
        <f>F835+J834</f>
        <v>17</v>
      </c>
      <c r="M835" s="7">
        <f t="shared" si="10"/>
        <v>65.89568345</v>
      </c>
      <c r="N835" s="7">
        <f t="shared" si="8"/>
        <v>0.2579835144</v>
      </c>
      <c r="O835" s="2" t="str">
        <f t="shared" si="9"/>
        <v>Acceptable</v>
      </c>
    </row>
    <row r="836" ht="15.75" customHeight="1">
      <c r="A836" s="1" t="s">
        <v>98</v>
      </c>
      <c r="B836" s="1" t="s">
        <v>69</v>
      </c>
      <c r="C836" s="1" t="s">
        <v>23</v>
      </c>
      <c r="D836" s="1">
        <v>652.0</v>
      </c>
      <c r="E836" s="1">
        <v>547.0</v>
      </c>
      <c r="F836" s="1">
        <f t="shared" si="2"/>
        <v>-105</v>
      </c>
      <c r="G836" s="1">
        <f t="shared" si="3"/>
        <v>105</v>
      </c>
      <c r="H836" s="6">
        <f t="shared" si="4"/>
        <v>0.1610429448</v>
      </c>
      <c r="I836" s="6">
        <f t="shared" si="5"/>
        <v>0.8389570552</v>
      </c>
      <c r="J836" s="1">
        <f t="shared" si="6"/>
        <v>-105</v>
      </c>
      <c r="K836" s="1" t="str">
        <f t="shared" si="7"/>
        <v>Under Forecast</v>
      </c>
      <c r="L836" s="1">
        <f>F836</f>
        <v>-105</v>
      </c>
      <c r="M836" s="7">
        <f t="shared" si="10"/>
        <v>65.94251497</v>
      </c>
      <c r="N836" s="7">
        <f t="shared" si="8"/>
        <v>-1.592295957</v>
      </c>
      <c r="O836" s="2" t="str">
        <f t="shared" si="9"/>
        <v>Acceptable</v>
      </c>
    </row>
    <row r="837" ht="15.75" customHeight="1">
      <c r="A837" s="1" t="s">
        <v>98</v>
      </c>
      <c r="B837" s="1" t="s">
        <v>69</v>
      </c>
      <c r="C837" s="1" t="s">
        <v>24</v>
      </c>
      <c r="D837" s="1">
        <v>630.0</v>
      </c>
      <c r="E837" s="1">
        <v>544.0</v>
      </c>
      <c r="F837" s="1">
        <f t="shared" si="2"/>
        <v>-86</v>
      </c>
      <c r="G837" s="1">
        <f t="shared" si="3"/>
        <v>86</v>
      </c>
      <c r="H837" s="6">
        <f t="shared" si="4"/>
        <v>0.1365079365</v>
      </c>
      <c r="I837" s="6">
        <f t="shared" si="5"/>
        <v>0.8634920635</v>
      </c>
      <c r="J837" s="1">
        <f t="shared" si="6"/>
        <v>-86</v>
      </c>
      <c r="K837" s="1" t="str">
        <f t="shared" si="7"/>
        <v>Under Forecast</v>
      </c>
      <c r="L837" s="1">
        <f>F837+J836</f>
        <v>-191</v>
      </c>
      <c r="M837" s="7">
        <f t="shared" si="10"/>
        <v>65.96650718</v>
      </c>
      <c r="N837" s="7">
        <f t="shared" si="8"/>
        <v>-2.895408718</v>
      </c>
      <c r="O837" s="2" t="str">
        <f t="shared" si="9"/>
        <v>Acceptable</v>
      </c>
    </row>
    <row r="838" ht="15.75" customHeight="1">
      <c r="A838" s="1" t="s">
        <v>98</v>
      </c>
      <c r="B838" s="1" t="s">
        <v>69</v>
      </c>
      <c r="C838" s="1" t="s">
        <v>25</v>
      </c>
      <c r="D838" s="1">
        <v>635.0</v>
      </c>
      <c r="E838" s="1">
        <v>618.0</v>
      </c>
      <c r="F838" s="1">
        <f t="shared" si="2"/>
        <v>-17</v>
      </c>
      <c r="G838" s="1">
        <f t="shared" si="3"/>
        <v>17</v>
      </c>
      <c r="H838" s="6">
        <f t="shared" si="4"/>
        <v>0.02677165354</v>
      </c>
      <c r="I838" s="6">
        <f t="shared" si="5"/>
        <v>0.9732283465</v>
      </c>
      <c r="J838" s="1">
        <f t="shared" si="6"/>
        <v>-17</v>
      </c>
      <c r="K838" s="1" t="str">
        <f t="shared" si="7"/>
        <v>Under Forecast</v>
      </c>
      <c r="L838" s="1">
        <f>F838</f>
        <v>-17</v>
      </c>
      <c r="M838" s="7">
        <f t="shared" si="10"/>
        <v>65.90800478</v>
      </c>
      <c r="N838" s="7">
        <f t="shared" si="8"/>
        <v>-0.2579352851</v>
      </c>
      <c r="O838" s="2" t="str">
        <f t="shared" si="9"/>
        <v>Acceptable</v>
      </c>
    </row>
    <row r="839" ht="15.75" customHeight="1">
      <c r="A839" s="1" t="s">
        <v>98</v>
      </c>
      <c r="B839" s="1" t="s">
        <v>69</v>
      </c>
      <c r="C839" s="1" t="s">
        <v>26</v>
      </c>
      <c r="D839" s="1">
        <v>629.0</v>
      </c>
      <c r="E839" s="1">
        <v>523.0</v>
      </c>
      <c r="F839" s="1">
        <f t="shared" si="2"/>
        <v>-106</v>
      </c>
      <c r="G839" s="1">
        <f t="shared" si="3"/>
        <v>106</v>
      </c>
      <c r="H839" s="6">
        <f t="shared" si="4"/>
        <v>0.1685214626</v>
      </c>
      <c r="I839" s="6">
        <f t="shared" si="5"/>
        <v>0.8314785374</v>
      </c>
      <c r="J839" s="1">
        <f t="shared" si="6"/>
        <v>-106</v>
      </c>
      <c r="K839" s="1" t="str">
        <f t="shared" si="7"/>
        <v>Under Forecast</v>
      </c>
      <c r="L839" s="1">
        <f>F839+J838</f>
        <v>-123</v>
      </c>
      <c r="M839" s="7">
        <f t="shared" si="10"/>
        <v>65.95584726</v>
      </c>
      <c r="N839" s="7">
        <f t="shared" si="8"/>
        <v>-1.864883936</v>
      </c>
      <c r="O839" s="2" t="str">
        <f t="shared" si="9"/>
        <v>Acceptable</v>
      </c>
    </row>
    <row r="840" ht="15.75" customHeight="1">
      <c r="A840" s="1" t="s">
        <v>98</v>
      </c>
      <c r="B840" s="1" t="s">
        <v>69</v>
      </c>
      <c r="C840" s="1" t="s">
        <v>27</v>
      </c>
      <c r="D840" s="1">
        <v>557.0</v>
      </c>
      <c r="E840" s="1">
        <v>576.0</v>
      </c>
      <c r="F840" s="1">
        <f t="shared" si="2"/>
        <v>19</v>
      </c>
      <c r="G840" s="1">
        <f t="shared" si="3"/>
        <v>19</v>
      </c>
      <c r="H840" s="6">
        <f t="shared" si="4"/>
        <v>0.03411131059</v>
      </c>
      <c r="I840" s="6">
        <f t="shared" si="5"/>
        <v>0.9658886894</v>
      </c>
      <c r="J840" s="1">
        <f t="shared" si="6"/>
        <v>19</v>
      </c>
      <c r="K840" s="1" t="str">
        <f t="shared" si="7"/>
        <v>Over Forecast</v>
      </c>
      <c r="L840" s="1">
        <f>F840</f>
        <v>19</v>
      </c>
      <c r="M840" s="7">
        <f t="shared" si="10"/>
        <v>65.89988081</v>
      </c>
      <c r="N840" s="7">
        <f t="shared" si="8"/>
        <v>0.2883161512</v>
      </c>
      <c r="O840" s="2" t="str">
        <f t="shared" si="9"/>
        <v>Acceptable</v>
      </c>
    </row>
    <row r="841" ht="15.75" customHeight="1">
      <c r="A841" s="1" t="s">
        <v>98</v>
      </c>
      <c r="B841" s="1" t="s">
        <v>69</v>
      </c>
      <c r="C841" s="1" t="s">
        <v>28</v>
      </c>
      <c r="D841" s="1">
        <v>550.0</v>
      </c>
      <c r="E841" s="1">
        <v>462.0</v>
      </c>
      <c r="F841" s="1">
        <f t="shared" si="2"/>
        <v>-88</v>
      </c>
      <c r="G841" s="1">
        <f t="shared" si="3"/>
        <v>88</v>
      </c>
      <c r="H841" s="6">
        <f t="shared" si="4"/>
        <v>0.16</v>
      </c>
      <c r="I841" s="6">
        <f t="shared" si="5"/>
        <v>0.84</v>
      </c>
      <c r="J841" s="1">
        <f t="shared" si="6"/>
        <v>-88</v>
      </c>
      <c r="K841" s="1" t="str">
        <f t="shared" si="7"/>
        <v>Under Forecast</v>
      </c>
      <c r="L841" s="1">
        <f>F841+J840</f>
        <v>-69</v>
      </c>
      <c r="M841" s="7">
        <f t="shared" si="10"/>
        <v>65.92619048</v>
      </c>
      <c r="N841" s="7">
        <f t="shared" si="8"/>
        <v>-1.046625014</v>
      </c>
      <c r="O841" s="2" t="str">
        <f t="shared" si="9"/>
        <v>Acceptable</v>
      </c>
    </row>
    <row r="842" ht="15.75" customHeight="1">
      <c r="A842" s="1" t="s">
        <v>99</v>
      </c>
      <c r="B842" s="1" t="s">
        <v>69</v>
      </c>
      <c r="C842" s="1" t="s">
        <v>17</v>
      </c>
      <c r="D842" s="1">
        <v>425.0</v>
      </c>
      <c r="E842" s="1">
        <v>410.0</v>
      </c>
      <c r="F842" s="1">
        <f t="shared" si="2"/>
        <v>-15</v>
      </c>
      <c r="G842" s="1">
        <f t="shared" si="3"/>
        <v>15</v>
      </c>
      <c r="H842" s="6">
        <f t="shared" si="4"/>
        <v>0.03529411765</v>
      </c>
      <c r="I842" s="6">
        <f t="shared" si="5"/>
        <v>0.9647058824</v>
      </c>
      <c r="J842" s="1">
        <f t="shared" si="6"/>
        <v>-15</v>
      </c>
      <c r="K842" s="1" t="str">
        <f t="shared" si="7"/>
        <v>Under Forecast</v>
      </c>
      <c r="L842" s="1">
        <f>F842</f>
        <v>-15</v>
      </c>
      <c r="M842" s="7">
        <f t="shared" si="10"/>
        <v>65.86563615</v>
      </c>
      <c r="N842" s="7">
        <f t="shared" si="8"/>
        <v>-0.2277363566</v>
      </c>
      <c r="O842" s="2" t="str">
        <f t="shared" si="9"/>
        <v>Acceptable</v>
      </c>
    </row>
    <row r="843" ht="15.75" customHeight="1">
      <c r="A843" s="1" t="s">
        <v>99</v>
      </c>
      <c r="B843" s="1" t="s">
        <v>69</v>
      </c>
      <c r="C843" s="1" t="s">
        <v>18</v>
      </c>
      <c r="D843" s="1">
        <v>431.0</v>
      </c>
      <c r="E843" s="1">
        <v>494.0</v>
      </c>
      <c r="F843" s="1">
        <f t="shared" si="2"/>
        <v>63</v>
      </c>
      <c r="G843" s="1">
        <f t="shared" si="3"/>
        <v>63</v>
      </c>
      <c r="H843" s="6">
        <f t="shared" si="4"/>
        <v>0.1461716937</v>
      </c>
      <c r="I843" s="6">
        <f t="shared" si="5"/>
        <v>0.8538283063</v>
      </c>
      <c r="J843" s="1">
        <f t="shared" si="6"/>
        <v>63</v>
      </c>
      <c r="K843" s="1" t="str">
        <f t="shared" si="7"/>
        <v>Over Forecast</v>
      </c>
      <c r="L843" s="1">
        <f>F843+J842</f>
        <v>48</v>
      </c>
      <c r="M843" s="7">
        <f t="shared" si="10"/>
        <v>65.86223278</v>
      </c>
      <c r="N843" s="7">
        <f t="shared" si="8"/>
        <v>0.7287939988</v>
      </c>
      <c r="O843" s="2" t="str">
        <f t="shared" si="9"/>
        <v>Acceptable</v>
      </c>
    </row>
    <row r="844" ht="15.75" customHeight="1">
      <c r="A844" s="1" t="s">
        <v>99</v>
      </c>
      <c r="B844" s="1" t="s">
        <v>69</v>
      </c>
      <c r="C844" s="1" t="s">
        <v>19</v>
      </c>
      <c r="D844" s="1">
        <v>490.0</v>
      </c>
      <c r="E844" s="1">
        <v>555.0</v>
      </c>
      <c r="F844" s="1">
        <f t="shared" si="2"/>
        <v>65</v>
      </c>
      <c r="G844" s="1">
        <f t="shared" si="3"/>
        <v>65</v>
      </c>
      <c r="H844" s="6">
        <f t="shared" si="4"/>
        <v>0.1326530612</v>
      </c>
      <c r="I844" s="6">
        <f t="shared" si="5"/>
        <v>0.8673469388</v>
      </c>
      <c r="J844" s="1">
        <f t="shared" si="6"/>
        <v>65</v>
      </c>
      <c r="K844" s="1" t="str">
        <f t="shared" si="7"/>
        <v>Over Forecast</v>
      </c>
      <c r="L844" s="1">
        <f>F844</f>
        <v>65</v>
      </c>
      <c r="M844" s="7">
        <f t="shared" si="10"/>
        <v>65.86120996</v>
      </c>
      <c r="N844" s="7">
        <f t="shared" si="8"/>
        <v>0.9869238666</v>
      </c>
      <c r="O844" s="2" t="str">
        <f t="shared" si="9"/>
        <v>Acceptable</v>
      </c>
    </row>
    <row r="845" ht="15.75" customHeight="1">
      <c r="A845" s="1" t="s">
        <v>99</v>
      </c>
      <c r="B845" s="1" t="s">
        <v>69</v>
      </c>
      <c r="C845" s="1" t="s">
        <v>20</v>
      </c>
      <c r="D845" s="1">
        <v>483.0</v>
      </c>
      <c r="E845" s="1">
        <v>461.0</v>
      </c>
      <c r="F845" s="1">
        <f t="shared" si="2"/>
        <v>-22</v>
      </c>
      <c r="G845" s="1">
        <f t="shared" si="3"/>
        <v>22</v>
      </c>
      <c r="H845" s="6">
        <f t="shared" si="4"/>
        <v>0.04554865424</v>
      </c>
      <c r="I845" s="6">
        <f t="shared" si="5"/>
        <v>0.9544513458</v>
      </c>
      <c r="J845" s="1">
        <f t="shared" si="6"/>
        <v>-22</v>
      </c>
      <c r="K845" s="1" t="str">
        <f t="shared" si="7"/>
        <v>Under Forecast</v>
      </c>
      <c r="L845" s="1">
        <f>F845+J844</f>
        <v>43</v>
      </c>
      <c r="M845" s="7">
        <f t="shared" si="10"/>
        <v>65.80924171</v>
      </c>
      <c r="N845" s="7">
        <f t="shared" si="8"/>
        <v>0.6534036692</v>
      </c>
      <c r="O845" s="2" t="str">
        <f t="shared" si="9"/>
        <v>Acceptable</v>
      </c>
    </row>
    <row r="846" ht="15.75" customHeight="1">
      <c r="A846" s="1" t="s">
        <v>99</v>
      </c>
      <c r="B846" s="1" t="s">
        <v>69</v>
      </c>
      <c r="C846" s="1" t="s">
        <v>21</v>
      </c>
      <c r="D846" s="1">
        <v>458.0</v>
      </c>
      <c r="E846" s="1">
        <v>464.0</v>
      </c>
      <c r="F846" s="1">
        <f t="shared" si="2"/>
        <v>6</v>
      </c>
      <c r="G846" s="1">
        <f t="shared" si="3"/>
        <v>6</v>
      </c>
      <c r="H846" s="6">
        <f t="shared" si="4"/>
        <v>0.01310043668</v>
      </c>
      <c r="I846" s="6">
        <f t="shared" si="5"/>
        <v>0.9868995633</v>
      </c>
      <c r="J846" s="1">
        <f t="shared" si="6"/>
        <v>6</v>
      </c>
      <c r="K846" s="1" t="str">
        <f t="shared" si="7"/>
        <v>Over Forecast</v>
      </c>
      <c r="L846" s="1">
        <f>F846</f>
        <v>6</v>
      </c>
      <c r="M846" s="7">
        <f t="shared" si="10"/>
        <v>65.73846154</v>
      </c>
      <c r="N846" s="7">
        <f t="shared" si="8"/>
        <v>0.09127076995</v>
      </c>
      <c r="O846" s="2" t="str">
        <f t="shared" si="9"/>
        <v>Acceptable</v>
      </c>
    </row>
    <row r="847" ht="15.75" customHeight="1">
      <c r="A847" s="1" t="s">
        <v>99</v>
      </c>
      <c r="B847" s="1" t="s">
        <v>69</v>
      </c>
      <c r="C847" s="1" t="s">
        <v>22</v>
      </c>
      <c r="D847" s="1">
        <v>502.0</v>
      </c>
      <c r="E847" s="1">
        <v>437.0</v>
      </c>
      <c r="F847" s="1">
        <f t="shared" si="2"/>
        <v>-65</v>
      </c>
      <c r="G847" s="1">
        <f t="shared" si="3"/>
        <v>65</v>
      </c>
      <c r="H847" s="6">
        <f t="shared" si="4"/>
        <v>0.1294820717</v>
      </c>
      <c r="I847" s="6">
        <f t="shared" si="5"/>
        <v>0.8705179283</v>
      </c>
      <c r="J847" s="1">
        <f t="shared" si="6"/>
        <v>-65</v>
      </c>
      <c r="K847" s="1" t="str">
        <f t="shared" si="7"/>
        <v>Under Forecast</v>
      </c>
      <c r="L847" s="1">
        <f>F847+J846</f>
        <v>-59</v>
      </c>
      <c r="M847" s="7">
        <f t="shared" si="10"/>
        <v>65.73758865</v>
      </c>
      <c r="N847" s="7">
        <f t="shared" si="8"/>
        <v>-0.8975078218</v>
      </c>
      <c r="O847" s="2" t="str">
        <f t="shared" si="9"/>
        <v>Acceptable</v>
      </c>
    </row>
    <row r="848" ht="15.75" customHeight="1">
      <c r="A848" s="1" t="s">
        <v>99</v>
      </c>
      <c r="B848" s="1" t="s">
        <v>69</v>
      </c>
      <c r="C848" s="1" t="s">
        <v>23</v>
      </c>
      <c r="D848" s="1">
        <v>468.0</v>
      </c>
      <c r="E848" s="1">
        <v>409.0</v>
      </c>
      <c r="F848" s="1">
        <f t="shared" si="2"/>
        <v>-59</v>
      </c>
      <c r="G848" s="1">
        <f t="shared" si="3"/>
        <v>59</v>
      </c>
      <c r="H848" s="6">
        <f t="shared" si="4"/>
        <v>0.1260683761</v>
      </c>
      <c r="I848" s="6">
        <f t="shared" si="5"/>
        <v>0.8739316239</v>
      </c>
      <c r="J848" s="1">
        <f t="shared" si="6"/>
        <v>-59</v>
      </c>
      <c r="K848" s="1" t="str">
        <f t="shared" si="7"/>
        <v>Under Forecast</v>
      </c>
      <c r="L848" s="1">
        <f>F848</f>
        <v>-59</v>
      </c>
      <c r="M848" s="7">
        <f t="shared" si="10"/>
        <v>65.729634</v>
      </c>
      <c r="N848" s="7">
        <f t="shared" si="8"/>
        <v>-0.8976164388</v>
      </c>
      <c r="O848" s="2" t="str">
        <f t="shared" si="9"/>
        <v>Acceptable</v>
      </c>
    </row>
    <row r="849" ht="15.75" customHeight="1">
      <c r="A849" s="1" t="s">
        <v>99</v>
      </c>
      <c r="B849" s="1" t="s">
        <v>69</v>
      </c>
      <c r="C849" s="1" t="s">
        <v>24</v>
      </c>
      <c r="D849" s="1">
        <v>455.0</v>
      </c>
      <c r="E849" s="1">
        <v>509.0</v>
      </c>
      <c r="F849" s="1">
        <f t="shared" si="2"/>
        <v>54</v>
      </c>
      <c r="G849" s="1">
        <f t="shared" si="3"/>
        <v>54</v>
      </c>
      <c r="H849" s="6">
        <f t="shared" si="4"/>
        <v>0.1186813187</v>
      </c>
      <c r="I849" s="6">
        <f t="shared" si="5"/>
        <v>0.8813186813</v>
      </c>
      <c r="J849" s="1">
        <f t="shared" si="6"/>
        <v>54</v>
      </c>
      <c r="K849" s="1" t="str">
        <f t="shared" si="7"/>
        <v>Over Forecast</v>
      </c>
      <c r="L849" s="1">
        <f>F849+J848</f>
        <v>-5</v>
      </c>
      <c r="M849" s="7">
        <f t="shared" si="10"/>
        <v>65.71580189</v>
      </c>
      <c r="N849" s="7">
        <f t="shared" si="8"/>
        <v>-0.07608520107</v>
      </c>
      <c r="O849" s="2" t="str">
        <f t="shared" si="9"/>
        <v>Acceptable</v>
      </c>
    </row>
    <row r="850" ht="15.75" customHeight="1">
      <c r="A850" s="1" t="s">
        <v>99</v>
      </c>
      <c r="B850" s="1" t="s">
        <v>69</v>
      </c>
      <c r="C850" s="1" t="s">
        <v>25</v>
      </c>
      <c r="D850" s="1">
        <v>449.0</v>
      </c>
      <c r="E850" s="1">
        <v>412.0</v>
      </c>
      <c r="F850" s="1">
        <f t="shared" si="2"/>
        <v>-37</v>
      </c>
      <c r="G850" s="1">
        <f t="shared" si="3"/>
        <v>37</v>
      </c>
      <c r="H850" s="6">
        <f t="shared" si="4"/>
        <v>0.08240534521</v>
      </c>
      <c r="I850" s="6">
        <f t="shared" si="5"/>
        <v>0.9175946548</v>
      </c>
      <c r="J850" s="1">
        <f t="shared" si="6"/>
        <v>-37</v>
      </c>
      <c r="K850" s="1" t="str">
        <f t="shared" si="7"/>
        <v>Under Forecast</v>
      </c>
      <c r="L850" s="1">
        <f>F850</f>
        <v>-37</v>
      </c>
      <c r="M850" s="7">
        <f t="shared" si="10"/>
        <v>65.6819788</v>
      </c>
      <c r="N850" s="7">
        <f t="shared" si="8"/>
        <v>-0.5633204218</v>
      </c>
      <c r="O850" s="2" t="str">
        <f t="shared" si="9"/>
        <v>Acceptable</v>
      </c>
    </row>
    <row r="851" ht="15.75" customHeight="1">
      <c r="A851" s="1" t="s">
        <v>99</v>
      </c>
      <c r="B851" s="1" t="s">
        <v>69</v>
      </c>
      <c r="C851" s="1" t="s">
        <v>26</v>
      </c>
      <c r="D851" s="1">
        <v>453.0</v>
      </c>
      <c r="E851" s="1">
        <v>475.0</v>
      </c>
      <c r="F851" s="1">
        <f t="shared" si="2"/>
        <v>22</v>
      </c>
      <c r="G851" s="1">
        <f t="shared" si="3"/>
        <v>22</v>
      </c>
      <c r="H851" s="6">
        <f t="shared" si="4"/>
        <v>0.04856512141</v>
      </c>
      <c r="I851" s="6">
        <f t="shared" si="5"/>
        <v>0.9514348786</v>
      </c>
      <c r="J851" s="1">
        <f t="shared" si="6"/>
        <v>22</v>
      </c>
      <c r="K851" s="1" t="str">
        <f t="shared" si="7"/>
        <v>Over Forecast</v>
      </c>
      <c r="L851" s="1">
        <f>F851+J850</f>
        <v>-15</v>
      </c>
      <c r="M851" s="7">
        <f t="shared" si="10"/>
        <v>65.63058824</v>
      </c>
      <c r="N851" s="7">
        <f t="shared" si="8"/>
        <v>-0.2285519664</v>
      </c>
      <c r="O851" s="2" t="str">
        <f t="shared" si="9"/>
        <v>Acceptable</v>
      </c>
    </row>
    <row r="852" ht="15.75" customHeight="1">
      <c r="A852" s="1" t="s">
        <v>99</v>
      </c>
      <c r="B852" s="1" t="s">
        <v>69</v>
      </c>
      <c r="C852" s="1" t="s">
        <v>27</v>
      </c>
      <c r="D852" s="1">
        <v>362.0</v>
      </c>
      <c r="E852" s="1">
        <v>335.0</v>
      </c>
      <c r="F852" s="1">
        <f t="shared" si="2"/>
        <v>-27</v>
      </c>
      <c r="G852" s="1">
        <f t="shared" si="3"/>
        <v>27</v>
      </c>
      <c r="H852" s="6">
        <f t="shared" si="4"/>
        <v>0.07458563536</v>
      </c>
      <c r="I852" s="6">
        <f t="shared" si="5"/>
        <v>0.9254143646</v>
      </c>
      <c r="J852" s="1">
        <f t="shared" si="6"/>
        <v>-27</v>
      </c>
      <c r="K852" s="1" t="str">
        <f t="shared" si="7"/>
        <v>Under Forecast</v>
      </c>
      <c r="L852" s="1">
        <f>F852</f>
        <v>-27</v>
      </c>
      <c r="M852" s="7">
        <f t="shared" si="10"/>
        <v>65.58519389</v>
      </c>
      <c r="N852" s="7">
        <f t="shared" si="8"/>
        <v>-0.4116782828</v>
      </c>
      <c r="O852" s="2" t="str">
        <f t="shared" si="9"/>
        <v>Acceptable</v>
      </c>
    </row>
    <row r="853" ht="15.75" customHeight="1">
      <c r="A853" s="1" t="s">
        <v>99</v>
      </c>
      <c r="B853" s="1" t="s">
        <v>69</v>
      </c>
      <c r="C853" s="1" t="s">
        <v>28</v>
      </c>
      <c r="D853" s="1">
        <v>367.0</v>
      </c>
      <c r="E853" s="1">
        <v>319.0</v>
      </c>
      <c r="F853" s="1">
        <f t="shared" si="2"/>
        <v>-48</v>
      </c>
      <c r="G853" s="1">
        <f t="shared" si="3"/>
        <v>48</v>
      </c>
      <c r="H853" s="6">
        <f t="shared" si="4"/>
        <v>0.1307901907</v>
      </c>
      <c r="I853" s="6">
        <f t="shared" si="5"/>
        <v>0.8692098093</v>
      </c>
      <c r="J853" s="1">
        <f t="shared" si="6"/>
        <v>-48</v>
      </c>
      <c r="K853" s="1" t="str">
        <f t="shared" si="7"/>
        <v>Under Forecast</v>
      </c>
      <c r="L853" s="1">
        <f>F853+J852</f>
        <v>-75</v>
      </c>
      <c r="M853" s="7">
        <f t="shared" si="10"/>
        <v>65.56455399</v>
      </c>
      <c r="N853" s="7">
        <f t="shared" si="8"/>
        <v>-1.143910779</v>
      </c>
      <c r="O853" s="2" t="str">
        <f t="shared" si="9"/>
        <v>Acceptable</v>
      </c>
    </row>
    <row r="854" ht="15.75" customHeight="1">
      <c r="A854" s="1" t="s">
        <v>100</v>
      </c>
      <c r="B854" s="1" t="s">
        <v>69</v>
      </c>
      <c r="C854" s="1" t="s">
        <v>17</v>
      </c>
      <c r="D854" s="1">
        <v>450.0</v>
      </c>
      <c r="E854" s="1">
        <v>490.0</v>
      </c>
      <c r="F854" s="1">
        <f t="shared" si="2"/>
        <v>40</v>
      </c>
      <c r="G854" s="1">
        <f t="shared" si="3"/>
        <v>40</v>
      </c>
      <c r="H854" s="6">
        <f t="shared" si="4"/>
        <v>0.08888888889</v>
      </c>
      <c r="I854" s="6">
        <f t="shared" si="5"/>
        <v>0.9111111111</v>
      </c>
      <c r="J854" s="1">
        <f t="shared" si="6"/>
        <v>40</v>
      </c>
      <c r="K854" s="1" t="str">
        <f t="shared" si="7"/>
        <v>Over Forecast</v>
      </c>
      <c r="L854" s="1">
        <f>F854</f>
        <v>40</v>
      </c>
      <c r="M854" s="7">
        <f t="shared" si="10"/>
        <v>65.53458382</v>
      </c>
      <c r="N854" s="7">
        <f t="shared" si="8"/>
        <v>0.610364752</v>
      </c>
      <c r="O854" s="2" t="str">
        <f t="shared" si="9"/>
        <v>Acceptable</v>
      </c>
    </row>
    <row r="855" ht="15.75" customHeight="1">
      <c r="A855" s="1" t="s">
        <v>100</v>
      </c>
      <c r="B855" s="1" t="s">
        <v>69</v>
      </c>
      <c r="C855" s="1" t="s">
        <v>18</v>
      </c>
      <c r="D855" s="1">
        <v>547.0</v>
      </c>
      <c r="E855" s="1">
        <v>485.0</v>
      </c>
      <c r="F855" s="1">
        <f t="shared" si="2"/>
        <v>-62</v>
      </c>
      <c r="G855" s="1">
        <f t="shared" si="3"/>
        <v>62</v>
      </c>
      <c r="H855" s="6">
        <f t="shared" si="4"/>
        <v>0.113345521</v>
      </c>
      <c r="I855" s="6">
        <f t="shared" si="5"/>
        <v>0.886654479</v>
      </c>
      <c r="J855" s="1">
        <f t="shared" si="6"/>
        <v>-62</v>
      </c>
      <c r="K855" s="1" t="str">
        <f t="shared" si="7"/>
        <v>Under Forecast</v>
      </c>
      <c r="L855" s="1">
        <f>F855+J854</f>
        <v>-22</v>
      </c>
      <c r="M855" s="7">
        <f t="shared" si="10"/>
        <v>65.53044496</v>
      </c>
      <c r="N855" s="7">
        <f t="shared" si="8"/>
        <v>-0.3357218162</v>
      </c>
      <c r="O855" s="2" t="str">
        <f t="shared" si="9"/>
        <v>Acceptable</v>
      </c>
    </row>
    <row r="856" ht="15.75" customHeight="1">
      <c r="A856" s="1" t="s">
        <v>100</v>
      </c>
      <c r="B856" s="1" t="s">
        <v>69</v>
      </c>
      <c r="C856" s="1" t="s">
        <v>19</v>
      </c>
      <c r="D856" s="1">
        <v>596.0</v>
      </c>
      <c r="E856" s="1">
        <v>584.0</v>
      </c>
      <c r="F856" s="1">
        <f t="shared" si="2"/>
        <v>-12</v>
      </c>
      <c r="G856" s="1">
        <f t="shared" si="3"/>
        <v>12</v>
      </c>
      <c r="H856" s="6">
        <f t="shared" si="4"/>
        <v>0.02013422819</v>
      </c>
      <c r="I856" s="6">
        <f t="shared" si="5"/>
        <v>0.9798657718</v>
      </c>
      <c r="J856" s="1">
        <f t="shared" si="6"/>
        <v>-12</v>
      </c>
      <c r="K856" s="1" t="str">
        <f t="shared" si="7"/>
        <v>Under Forecast</v>
      </c>
      <c r="L856" s="1">
        <f>F856</f>
        <v>-12</v>
      </c>
      <c r="M856" s="7">
        <f t="shared" si="10"/>
        <v>65.46783626</v>
      </c>
      <c r="N856" s="7">
        <f t="shared" si="8"/>
        <v>-0.1832961143</v>
      </c>
      <c r="O856" s="2" t="str">
        <f t="shared" si="9"/>
        <v>Acceptable</v>
      </c>
    </row>
    <row r="857" ht="15.75" customHeight="1">
      <c r="A857" s="1" t="s">
        <v>100</v>
      </c>
      <c r="B857" s="1" t="s">
        <v>69</v>
      </c>
      <c r="C857" s="1" t="s">
        <v>20</v>
      </c>
      <c r="D857" s="1">
        <v>575.0</v>
      </c>
      <c r="E857" s="1">
        <v>589.0</v>
      </c>
      <c r="F857" s="1">
        <f t="shared" si="2"/>
        <v>14</v>
      </c>
      <c r="G857" s="1">
        <f t="shared" si="3"/>
        <v>14</v>
      </c>
      <c r="H857" s="6">
        <f t="shared" si="4"/>
        <v>0.02434782609</v>
      </c>
      <c r="I857" s="6">
        <f t="shared" si="5"/>
        <v>0.9756521739</v>
      </c>
      <c r="J857" s="1">
        <f t="shared" si="6"/>
        <v>14</v>
      </c>
      <c r="K857" s="1" t="str">
        <f t="shared" si="7"/>
        <v>Over Forecast</v>
      </c>
      <c r="L857" s="1">
        <f>F857+J856</f>
        <v>2</v>
      </c>
      <c r="M857" s="7">
        <f t="shared" si="10"/>
        <v>65.40771028</v>
      </c>
      <c r="N857" s="7">
        <f t="shared" si="8"/>
        <v>0.03057743485</v>
      </c>
      <c r="O857" s="2" t="str">
        <f t="shared" si="9"/>
        <v>Acceptable</v>
      </c>
    </row>
    <row r="858" ht="15.75" customHeight="1">
      <c r="A858" s="1" t="s">
        <v>100</v>
      </c>
      <c r="B858" s="1" t="s">
        <v>69</v>
      </c>
      <c r="C858" s="1" t="s">
        <v>21</v>
      </c>
      <c r="D858" s="1">
        <v>625.0</v>
      </c>
      <c r="E858" s="1">
        <v>623.0</v>
      </c>
      <c r="F858" s="1">
        <f t="shared" si="2"/>
        <v>-2</v>
      </c>
      <c r="G858" s="1">
        <f t="shared" si="3"/>
        <v>2</v>
      </c>
      <c r="H858" s="6">
        <f t="shared" si="4"/>
        <v>0.0032</v>
      </c>
      <c r="I858" s="6">
        <f t="shared" si="5"/>
        <v>0.9968</v>
      </c>
      <c r="J858" s="1">
        <f t="shared" si="6"/>
        <v>-2</v>
      </c>
      <c r="K858" s="1" t="str">
        <f t="shared" si="7"/>
        <v>Under Forecast</v>
      </c>
      <c r="L858" s="1">
        <f>F858</f>
        <v>-2</v>
      </c>
      <c r="M858" s="7">
        <f t="shared" si="10"/>
        <v>65.33372229</v>
      </c>
      <c r="N858" s="7">
        <f t="shared" si="8"/>
        <v>-0.03061206265</v>
      </c>
      <c r="O858" s="2" t="str">
        <f t="shared" si="9"/>
        <v>Acceptable</v>
      </c>
    </row>
    <row r="859" ht="15.75" customHeight="1">
      <c r="A859" s="1" t="s">
        <v>100</v>
      </c>
      <c r="B859" s="1" t="s">
        <v>69</v>
      </c>
      <c r="C859" s="1" t="s">
        <v>22</v>
      </c>
      <c r="D859" s="1">
        <v>561.0</v>
      </c>
      <c r="E859" s="1">
        <v>505.0</v>
      </c>
      <c r="F859" s="1">
        <f t="shared" si="2"/>
        <v>-56</v>
      </c>
      <c r="G859" s="1">
        <f t="shared" si="3"/>
        <v>56</v>
      </c>
      <c r="H859" s="6">
        <f t="shared" si="4"/>
        <v>0.09982174688</v>
      </c>
      <c r="I859" s="6">
        <f t="shared" si="5"/>
        <v>0.9001782531</v>
      </c>
      <c r="J859" s="1">
        <f t="shared" si="6"/>
        <v>-56</v>
      </c>
      <c r="K859" s="1" t="str">
        <f t="shared" si="7"/>
        <v>Under Forecast</v>
      </c>
      <c r="L859" s="1">
        <f>F859+J858</f>
        <v>-58</v>
      </c>
      <c r="M859" s="7">
        <f t="shared" si="10"/>
        <v>65.32284382</v>
      </c>
      <c r="N859" s="7">
        <f t="shared" si="8"/>
        <v>-0.8878976573</v>
      </c>
      <c r="O859" s="2" t="str">
        <f t="shared" si="9"/>
        <v>Acceptable</v>
      </c>
    </row>
    <row r="860" ht="15.75" customHeight="1">
      <c r="A860" s="1" t="s">
        <v>100</v>
      </c>
      <c r="B860" s="1" t="s">
        <v>69</v>
      </c>
      <c r="C860" s="1" t="s">
        <v>23</v>
      </c>
      <c r="D860" s="1">
        <v>678.0</v>
      </c>
      <c r="E860" s="1">
        <v>588.0</v>
      </c>
      <c r="F860" s="1">
        <f t="shared" si="2"/>
        <v>-90</v>
      </c>
      <c r="G860" s="1">
        <f t="shared" si="3"/>
        <v>90</v>
      </c>
      <c r="H860" s="6">
        <f t="shared" si="4"/>
        <v>0.1327433628</v>
      </c>
      <c r="I860" s="6">
        <f t="shared" si="5"/>
        <v>0.8672566372</v>
      </c>
      <c r="J860" s="1">
        <f t="shared" si="6"/>
        <v>-90</v>
      </c>
      <c r="K860" s="1" t="str">
        <f t="shared" si="7"/>
        <v>Under Forecast</v>
      </c>
      <c r="L860" s="1">
        <f>F860</f>
        <v>-90</v>
      </c>
      <c r="M860" s="7">
        <f t="shared" si="10"/>
        <v>65.35157159</v>
      </c>
      <c r="N860" s="7">
        <f t="shared" si="8"/>
        <v>-1.377166575</v>
      </c>
      <c r="O860" s="2" t="str">
        <f t="shared" si="9"/>
        <v>Acceptable</v>
      </c>
    </row>
    <row r="861" ht="15.75" customHeight="1">
      <c r="A861" s="1" t="s">
        <v>100</v>
      </c>
      <c r="B861" s="1" t="s">
        <v>69</v>
      </c>
      <c r="C861" s="1" t="s">
        <v>24</v>
      </c>
      <c r="D861" s="1">
        <v>593.0</v>
      </c>
      <c r="E861" s="1">
        <v>551.0</v>
      </c>
      <c r="F861" s="1">
        <f t="shared" si="2"/>
        <v>-42</v>
      </c>
      <c r="G861" s="1">
        <f t="shared" si="3"/>
        <v>42</v>
      </c>
      <c r="H861" s="6">
        <f t="shared" si="4"/>
        <v>0.07082630691</v>
      </c>
      <c r="I861" s="6">
        <f t="shared" si="5"/>
        <v>0.9291736931</v>
      </c>
      <c r="J861" s="1">
        <f t="shared" si="6"/>
        <v>-42</v>
      </c>
      <c r="K861" s="1" t="str">
        <f t="shared" si="7"/>
        <v>Under Forecast</v>
      </c>
      <c r="L861" s="1">
        <f>F861+J860</f>
        <v>-132</v>
      </c>
      <c r="M861" s="7">
        <f t="shared" si="10"/>
        <v>65.3244186</v>
      </c>
      <c r="N861" s="7">
        <f t="shared" si="8"/>
        <v>-2.020683885</v>
      </c>
      <c r="O861" s="2" t="str">
        <f t="shared" si="9"/>
        <v>Acceptable</v>
      </c>
    </row>
    <row r="862" ht="15.75" customHeight="1">
      <c r="A862" s="1" t="s">
        <v>100</v>
      </c>
      <c r="B862" s="1" t="s">
        <v>69</v>
      </c>
      <c r="C862" s="1" t="s">
        <v>25</v>
      </c>
      <c r="D862" s="1">
        <v>574.0</v>
      </c>
      <c r="E862" s="1">
        <v>564.0</v>
      </c>
      <c r="F862" s="1">
        <f t="shared" si="2"/>
        <v>-10</v>
      </c>
      <c r="G862" s="1">
        <f t="shared" si="3"/>
        <v>10</v>
      </c>
      <c r="H862" s="6">
        <f t="shared" si="4"/>
        <v>0.01742160279</v>
      </c>
      <c r="I862" s="6">
        <f t="shared" si="5"/>
        <v>0.9825783972</v>
      </c>
      <c r="J862" s="1">
        <f t="shared" si="6"/>
        <v>-10</v>
      </c>
      <c r="K862" s="1" t="str">
        <f t="shared" si="7"/>
        <v>Under Forecast</v>
      </c>
      <c r="L862" s="1">
        <f>F862</f>
        <v>-10</v>
      </c>
      <c r="M862" s="7">
        <f t="shared" si="10"/>
        <v>65.2601626</v>
      </c>
      <c r="N862" s="7">
        <f t="shared" si="8"/>
        <v>-0.1532328392</v>
      </c>
      <c r="O862" s="2" t="str">
        <f t="shared" si="9"/>
        <v>Acceptable</v>
      </c>
    </row>
    <row r="863" ht="15.75" customHeight="1">
      <c r="A863" s="1" t="s">
        <v>100</v>
      </c>
      <c r="B863" s="1" t="s">
        <v>69</v>
      </c>
      <c r="C863" s="1" t="s">
        <v>26</v>
      </c>
      <c r="D863" s="1">
        <v>627.0</v>
      </c>
      <c r="E863" s="1">
        <v>546.0</v>
      </c>
      <c r="F863" s="1">
        <f t="shared" si="2"/>
        <v>-81</v>
      </c>
      <c r="G863" s="1">
        <f t="shared" si="3"/>
        <v>81</v>
      </c>
      <c r="H863" s="6">
        <f t="shared" si="4"/>
        <v>0.1291866029</v>
      </c>
      <c r="I863" s="6">
        <f t="shared" si="5"/>
        <v>0.8708133971</v>
      </c>
      <c r="J863" s="1">
        <f t="shared" si="6"/>
        <v>-81</v>
      </c>
      <c r="K863" s="1" t="str">
        <f t="shared" si="7"/>
        <v>Under Forecast</v>
      </c>
      <c r="L863" s="1">
        <f>F863+J862</f>
        <v>-91</v>
      </c>
      <c r="M863" s="7">
        <f t="shared" si="10"/>
        <v>65.27842227</v>
      </c>
      <c r="N863" s="7">
        <f t="shared" si="8"/>
        <v>-1.39402879</v>
      </c>
      <c r="O863" s="2" t="str">
        <f t="shared" si="9"/>
        <v>Acceptable</v>
      </c>
    </row>
    <row r="864" ht="15.75" customHeight="1">
      <c r="A864" s="1" t="s">
        <v>100</v>
      </c>
      <c r="B864" s="1" t="s">
        <v>69</v>
      </c>
      <c r="C864" s="1" t="s">
        <v>27</v>
      </c>
      <c r="D864" s="1">
        <v>528.0</v>
      </c>
      <c r="E864" s="1">
        <v>453.0</v>
      </c>
      <c r="F864" s="1">
        <f t="shared" si="2"/>
        <v>-75</v>
      </c>
      <c r="G864" s="1">
        <f t="shared" si="3"/>
        <v>75</v>
      </c>
      <c r="H864" s="6">
        <f t="shared" si="4"/>
        <v>0.1420454545</v>
      </c>
      <c r="I864" s="6">
        <f t="shared" si="5"/>
        <v>0.8579545455</v>
      </c>
      <c r="J864" s="1">
        <f t="shared" si="6"/>
        <v>-75</v>
      </c>
      <c r="K864" s="1" t="str">
        <f t="shared" si="7"/>
        <v>Under Forecast</v>
      </c>
      <c r="L864" s="1">
        <f>F864</f>
        <v>-75</v>
      </c>
      <c r="M864" s="7">
        <f t="shared" si="10"/>
        <v>65.28968714</v>
      </c>
      <c r="N864" s="7">
        <f t="shared" si="8"/>
        <v>-1.148726595</v>
      </c>
      <c r="O864" s="2" t="str">
        <f t="shared" si="9"/>
        <v>Acceptable</v>
      </c>
    </row>
    <row r="865" ht="15.75" customHeight="1">
      <c r="A865" s="1" t="s">
        <v>100</v>
      </c>
      <c r="B865" s="1" t="s">
        <v>69</v>
      </c>
      <c r="C865" s="1" t="s">
        <v>28</v>
      </c>
      <c r="D865" s="1">
        <v>603.0</v>
      </c>
      <c r="E865" s="1">
        <v>599.0</v>
      </c>
      <c r="F865" s="1">
        <f t="shared" si="2"/>
        <v>-4</v>
      </c>
      <c r="G865" s="1">
        <f t="shared" si="3"/>
        <v>4</v>
      </c>
      <c r="H865" s="6">
        <f t="shared" si="4"/>
        <v>0.006633499171</v>
      </c>
      <c r="I865" s="6">
        <f t="shared" si="5"/>
        <v>0.9933665008</v>
      </c>
      <c r="J865" s="1">
        <f t="shared" si="6"/>
        <v>-4</v>
      </c>
      <c r="K865" s="1" t="str">
        <f t="shared" si="7"/>
        <v>Under Forecast</v>
      </c>
      <c r="L865" s="1">
        <f>F865+J864</f>
        <v>-79</v>
      </c>
      <c r="M865" s="7">
        <f t="shared" si="10"/>
        <v>65.21875</v>
      </c>
      <c r="N865" s="7">
        <f t="shared" si="8"/>
        <v>-1.211308098</v>
      </c>
      <c r="O865" s="2" t="str">
        <f t="shared" si="9"/>
        <v>Acceptable</v>
      </c>
    </row>
    <row r="866" ht="15.75" customHeight="1">
      <c r="A866" s="1" t="s">
        <v>101</v>
      </c>
      <c r="B866" s="1" t="s">
        <v>69</v>
      </c>
      <c r="C866" s="1" t="s">
        <v>17</v>
      </c>
      <c r="D866" s="1">
        <v>727.0</v>
      </c>
      <c r="E866" s="1">
        <v>846.0</v>
      </c>
      <c r="F866" s="1">
        <f t="shared" si="2"/>
        <v>119</v>
      </c>
      <c r="G866" s="1">
        <f t="shared" si="3"/>
        <v>119</v>
      </c>
      <c r="H866" s="6">
        <f t="shared" si="4"/>
        <v>0.1636863824</v>
      </c>
      <c r="I866" s="6">
        <f t="shared" si="5"/>
        <v>0.8363136176</v>
      </c>
      <c r="J866" s="1">
        <f t="shared" si="6"/>
        <v>119</v>
      </c>
      <c r="K866" s="1" t="str">
        <f t="shared" si="7"/>
        <v>Over Forecast</v>
      </c>
      <c r="L866" s="1">
        <f>F866</f>
        <v>119</v>
      </c>
      <c r="M866" s="7">
        <f t="shared" si="10"/>
        <v>65.28092486</v>
      </c>
      <c r="N866" s="7">
        <f t="shared" si="8"/>
        <v>1.822890841</v>
      </c>
      <c r="O866" s="2" t="str">
        <f t="shared" si="9"/>
        <v>Acceptable</v>
      </c>
    </row>
    <row r="867" ht="15.75" customHeight="1">
      <c r="A867" s="1" t="s">
        <v>101</v>
      </c>
      <c r="B867" s="1" t="s">
        <v>69</v>
      </c>
      <c r="C867" s="1" t="s">
        <v>18</v>
      </c>
      <c r="D867" s="1">
        <v>754.0</v>
      </c>
      <c r="E867" s="1">
        <v>801.0</v>
      </c>
      <c r="F867" s="1">
        <f t="shared" si="2"/>
        <v>47</v>
      </c>
      <c r="G867" s="1">
        <f t="shared" si="3"/>
        <v>47</v>
      </c>
      <c r="H867" s="6">
        <f t="shared" si="4"/>
        <v>0.06233421751</v>
      </c>
      <c r="I867" s="6">
        <f t="shared" si="5"/>
        <v>0.9376657825</v>
      </c>
      <c r="J867" s="1">
        <f t="shared" si="6"/>
        <v>47</v>
      </c>
      <c r="K867" s="1" t="str">
        <f t="shared" si="7"/>
        <v>Over Forecast</v>
      </c>
      <c r="L867" s="1">
        <f>F867+J866</f>
        <v>166</v>
      </c>
      <c r="M867" s="7">
        <f t="shared" si="10"/>
        <v>65.25981524</v>
      </c>
      <c r="N867" s="7">
        <f t="shared" si="8"/>
        <v>2.543678669</v>
      </c>
      <c r="O867" s="2" t="str">
        <f t="shared" si="9"/>
        <v>Acceptable</v>
      </c>
    </row>
    <row r="868" ht="15.75" customHeight="1">
      <c r="A868" s="1" t="s">
        <v>101</v>
      </c>
      <c r="B868" s="1" t="s">
        <v>69</v>
      </c>
      <c r="C868" s="1" t="s">
        <v>19</v>
      </c>
      <c r="D868" s="1">
        <v>861.0</v>
      </c>
      <c r="E868" s="1">
        <v>832.0</v>
      </c>
      <c r="F868" s="1">
        <f t="shared" si="2"/>
        <v>-29</v>
      </c>
      <c r="G868" s="1">
        <f t="shared" si="3"/>
        <v>29</v>
      </c>
      <c r="H868" s="6">
        <f t="shared" si="4"/>
        <v>0.03368176539</v>
      </c>
      <c r="I868" s="6">
        <f t="shared" si="5"/>
        <v>0.9663182346</v>
      </c>
      <c r="J868" s="1">
        <f t="shared" si="6"/>
        <v>-29</v>
      </c>
      <c r="K868" s="1" t="str">
        <f t="shared" si="7"/>
        <v>Under Forecast</v>
      </c>
      <c r="L868" s="1">
        <f>F868</f>
        <v>-29</v>
      </c>
      <c r="M868" s="7">
        <f t="shared" si="10"/>
        <v>65.21799308</v>
      </c>
      <c r="N868" s="7">
        <f t="shared" si="8"/>
        <v>-0.4446625637</v>
      </c>
      <c r="O868" s="2" t="str">
        <f t="shared" si="9"/>
        <v>Acceptable</v>
      </c>
    </row>
    <row r="869" ht="15.75" customHeight="1">
      <c r="A869" s="1" t="s">
        <v>101</v>
      </c>
      <c r="B869" s="1" t="s">
        <v>69</v>
      </c>
      <c r="C869" s="1" t="s">
        <v>20</v>
      </c>
      <c r="D869" s="1">
        <v>961.0</v>
      </c>
      <c r="E869" s="1">
        <v>1080.0</v>
      </c>
      <c r="F869" s="1">
        <f t="shared" si="2"/>
        <v>119</v>
      </c>
      <c r="G869" s="1">
        <f t="shared" si="3"/>
        <v>119</v>
      </c>
      <c r="H869" s="6">
        <f t="shared" si="4"/>
        <v>0.1238293444</v>
      </c>
      <c r="I869" s="6">
        <f t="shared" si="5"/>
        <v>0.8761706556</v>
      </c>
      <c r="J869" s="1">
        <f t="shared" si="6"/>
        <v>119</v>
      </c>
      <c r="K869" s="1" t="str">
        <f t="shared" si="7"/>
        <v>Over Forecast</v>
      </c>
      <c r="L869" s="1">
        <f>F869+J868</f>
        <v>90</v>
      </c>
      <c r="M869" s="7">
        <f t="shared" si="10"/>
        <v>65.27995392</v>
      </c>
      <c r="N869" s="7">
        <f t="shared" si="8"/>
        <v>1.378677444</v>
      </c>
      <c r="O869" s="2" t="str">
        <f t="shared" si="9"/>
        <v>Acceptable</v>
      </c>
    </row>
    <row r="870" ht="15.75" customHeight="1">
      <c r="A870" s="1" t="s">
        <v>101</v>
      </c>
      <c r="B870" s="1" t="s">
        <v>69</v>
      </c>
      <c r="C870" s="1" t="s">
        <v>21</v>
      </c>
      <c r="D870" s="1">
        <v>928.0</v>
      </c>
      <c r="E870" s="1">
        <v>885.0</v>
      </c>
      <c r="F870" s="1">
        <f t="shared" si="2"/>
        <v>-43</v>
      </c>
      <c r="G870" s="1">
        <f t="shared" si="3"/>
        <v>43</v>
      </c>
      <c r="H870" s="6">
        <f t="shared" si="4"/>
        <v>0.0463362069</v>
      </c>
      <c r="I870" s="6">
        <f t="shared" si="5"/>
        <v>0.9536637931</v>
      </c>
      <c r="J870" s="1">
        <f t="shared" si="6"/>
        <v>-43</v>
      </c>
      <c r="K870" s="1" t="str">
        <f t="shared" si="7"/>
        <v>Under Forecast</v>
      </c>
      <c r="L870" s="1">
        <f>F870</f>
        <v>-43</v>
      </c>
      <c r="M870" s="7">
        <f t="shared" si="10"/>
        <v>65.2543153</v>
      </c>
      <c r="N870" s="7">
        <f t="shared" si="8"/>
        <v>-0.6589602511</v>
      </c>
      <c r="O870" s="2" t="str">
        <f t="shared" si="9"/>
        <v>Acceptable</v>
      </c>
    </row>
    <row r="871" ht="15.75" customHeight="1">
      <c r="A871" s="1" t="s">
        <v>101</v>
      </c>
      <c r="B871" s="1" t="s">
        <v>69</v>
      </c>
      <c r="C871" s="1" t="s">
        <v>22</v>
      </c>
      <c r="D871" s="1">
        <v>866.0</v>
      </c>
      <c r="E871" s="1">
        <v>862.0</v>
      </c>
      <c r="F871" s="1">
        <f t="shared" si="2"/>
        <v>-4</v>
      </c>
      <c r="G871" s="1">
        <f t="shared" si="3"/>
        <v>4</v>
      </c>
      <c r="H871" s="6">
        <f t="shared" si="4"/>
        <v>0.004618937644</v>
      </c>
      <c r="I871" s="6">
        <f t="shared" si="5"/>
        <v>0.9953810624</v>
      </c>
      <c r="J871" s="1">
        <f t="shared" si="6"/>
        <v>-4</v>
      </c>
      <c r="K871" s="1" t="str">
        <f t="shared" si="7"/>
        <v>Under Forecast</v>
      </c>
      <c r="L871" s="1">
        <f>F871+J870</f>
        <v>-47</v>
      </c>
      <c r="M871" s="7">
        <f t="shared" si="10"/>
        <v>65.18390805</v>
      </c>
      <c r="N871" s="7">
        <f t="shared" si="8"/>
        <v>-0.7210368542</v>
      </c>
      <c r="O871" s="2" t="str">
        <f t="shared" si="9"/>
        <v>Acceptable</v>
      </c>
    </row>
    <row r="872" ht="15.75" customHeight="1">
      <c r="A872" s="1" t="s">
        <v>101</v>
      </c>
      <c r="B872" s="1" t="s">
        <v>69</v>
      </c>
      <c r="C872" s="1" t="s">
        <v>23</v>
      </c>
      <c r="D872" s="1">
        <v>1034.0</v>
      </c>
      <c r="E872" s="1">
        <v>1014.0</v>
      </c>
      <c r="F872" s="1">
        <f t="shared" si="2"/>
        <v>-20</v>
      </c>
      <c r="G872" s="1">
        <f t="shared" si="3"/>
        <v>20</v>
      </c>
      <c r="H872" s="6">
        <f t="shared" si="4"/>
        <v>0.01934235977</v>
      </c>
      <c r="I872" s="6">
        <f t="shared" si="5"/>
        <v>0.9806576402</v>
      </c>
      <c r="J872" s="1">
        <f t="shared" si="6"/>
        <v>-20</v>
      </c>
      <c r="K872" s="1" t="str">
        <f t="shared" si="7"/>
        <v>Under Forecast</v>
      </c>
      <c r="L872" s="1">
        <f>F872</f>
        <v>-20</v>
      </c>
      <c r="M872" s="7">
        <f t="shared" si="10"/>
        <v>65.13203215</v>
      </c>
      <c r="N872" s="7">
        <f t="shared" si="8"/>
        <v>-0.3070685704</v>
      </c>
      <c r="O872" s="2" t="str">
        <f t="shared" si="9"/>
        <v>Acceptable</v>
      </c>
    </row>
    <row r="873" ht="15.75" customHeight="1">
      <c r="A873" s="1" t="s">
        <v>101</v>
      </c>
      <c r="B873" s="1" t="s">
        <v>69</v>
      </c>
      <c r="C873" s="1" t="s">
        <v>24</v>
      </c>
      <c r="D873" s="1">
        <v>973.0</v>
      </c>
      <c r="E873" s="1">
        <v>1088.0</v>
      </c>
      <c r="F873" s="1">
        <f t="shared" si="2"/>
        <v>115</v>
      </c>
      <c r="G873" s="1">
        <f t="shared" si="3"/>
        <v>115</v>
      </c>
      <c r="H873" s="6">
        <f t="shared" si="4"/>
        <v>0.1181911614</v>
      </c>
      <c r="I873" s="6">
        <f t="shared" si="5"/>
        <v>0.8818088386</v>
      </c>
      <c r="J873" s="1">
        <f t="shared" si="6"/>
        <v>115</v>
      </c>
      <c r="K873" s="1" t="str">
        <f t="shared" si="7"/>
        <v>Over Forecast</v>
      </c>
      <c r="L873" s="1">
        <f>F873+J872</f>
        <v>95</v>
      </c>
      <c r="M873" s="7">
        <f t="shared" si="10"/>
        <v>65.18922018</v>
      </c>
      <c r="N873" s="7">
        <f t="shared" si="8"/>
        <v>1.457296156</v>
      </c>
      <c r="O873" s="2" t="str">
        <f t="shared" si="9"/>
        <v>Acceptable</v>
      </c>
    </row>
    <row r="874" ht="15.75" customHeight="1">
      <c r="A874" s="1" t="s">
        <v>101</v>
      </c>
      <c r="B874" s="1" t="s">
        <v>69</v>
      </c>
      <c r="C874" s="1" t="s">
        <v>25</v>
      </c>
      <c r="D874" s="1">
        <v>854.0</v>
      </c>
      <c r="E874" s="1">
        <v>944.0</v>
      </c>
      <c r="F874" s="1">
        <f t="shared" si="2"/>
        <v>90</v>
      </c>
      <c r="G874" s="1">
        <f t="shared" si="3"/>
        <v>90</v>
      </c>
      <c r="H874" s="6">
        <f t="shared" si="4"/>
        <v>0.1053864169</v>
      </c>
      <c r="I874" s="6">
        <f t="shared" si="5"/>
        <v>0.8946135831</v>
      </c>
      <c r="J874" s="1">
        <f t="shared" si="6"/>
        <v>90</v>
      </c>
      <c r="K874" s="1" t="str">
        <f t="shared" si="7"/>
        <v>Over Forecast</v>
      </c>
      <c r="L874" s="1">
        <f>F874</f>
        <v>90</v>
      </c>
      <c r="M874" s="7">
        <f t="shared" si="10"/>
        <v>65.21764032</v>
      </c>
      <c r="N874" s="7">
        <f t="shared" si="8"/>
        <v>1.379994731</v>
      </c>
      <c r="O874" s="2" t="str">
        <f t="shared" si="9"/>
        <v>Acceptable</v>
      </c>
    </row>
    <row r="875" ht="15.75" customHeight="1">
      <c r="A875" s="1" t="s">
        <v>101</v>
      </c>
      <c r="B875" s="1" t="s">
        <v>69</v>
      </c>
      <c r="C875" s="1" t="s">
        <v>26</v>
      </c>
      <c r="D875" s="1">
        <v>848.0</v>
      </c>
      <c r="E875" s="1">
        <v>1008.0</v>
      </c>
      <c r="F875" s="1">
        <f t="shared" si="2"/>
        <v>160</v>
      </c>
      <c r="G875" s="1">
        <f t="shared" si="3"/>
        <v>160</v>
      </c>
      <c r="H875" s="6">
        <f t="shared" si="4"/>
        <v>0.1886792453</v>
      </c>
      <c r="I875" s="6">
        <f t="shared" si="5"/>
        <v>0.8113207547</v>
      </c>
      <c r="J875" s="1">
        <f t="shared" si="6"/>
        <v>160</v>
      </c>
      <c r="K875" s="1" t="str">
        <f t="shared" si="7"/>
        <v>Over Forecast</v>
      </c>
      <c r="L875" s="1">
        <f>F875+J874</f>
        <v>250</v>
      </c>
      <c r="M875" s="7">
        <f t="shared" si="10"/>
        <v>65.32608696</v>
      </c>
      <c r="N875" s="7">
        <f t="shared" si="8"/>
        <v>3.826955075</v>
      </c>
      <c r="O875" s="2" t="str">
        <f t="shared" si="9"/>
        <v>Acceptable</v>
      </c>
    </row>
    <row r="876" ht="15.75" customHeight="1">
      <c r="A876" s="1" t="s">
        <v>101</v>
      </c>
      <c r="B876" s="1" t="s">
        <v>69</v>
      </c>
      <c r="C876" s="1" t="s">
        <v>27</v>
      </c>
      <c r="D876" s="1">
        <v>918.0</v>
      </c>
      <c r="E876" s="1">
        <v>867.0</v>
      </c>
      <c r="F876" s="1">
        <f t="shared" si="2"/>
        <v>-51</v>
      </c>
      <c r="G876" s="1">
        <f t="shared" si="3"/>
        <v>51</v>
      </c>
      <c r="H876" s="6">
        <f t="shared" si="4"/>
        <v>0.05555555556</v>
      </c>
      <c r="I876" s="6">
        <f t="shared" si="5"/>
        <v>0.9444444444</v>
      </c>
      <c r="J876" s="1">
        <f t="shared" si="6"/>
        <v>-51</v>
      </c>
      <c r="K876" s="1" t="str">
        <f t="shared" si="7"/>
        <v>Under Forecast</v>
      </c>
      <c r="L876" s="1">
        <f>F876</f>
        <v>-51</v>
      </c>
      <c r="M876" s="7">
        <f t="shared" si="10"/>
        <v>65.30971429</v>
      </c>
      <c r="N876" s="7">
        <f t="shared" si="8"/>
        <v>-0.7808945508</v>
      </c>
      <c r="O876" s="2" t="str">
        <f t="shared" si="9"/>
        <v>Acceptable</v>
      </c>
    </row>
    <row r="877" ht="15.75" customHeight="1">
      <c r="A877" s="1" t="s">
        <v>101</v>
      </c>
      <c r="B877" s="1" t="s">
        <v>69</v>
      </c>
      <c r="C877" s="1" t="s">
        <v>28</v>
      </c>
      <c r="D877" s="1">
        <v>879.0</v>
      </c>
      <c r="E877" s="1">
        <v>900.0</v>
      </c>
      <c r="F877" s="1">
        <f t="shared" si="2"/>
        <v>21</v>
      </c>
      <c r="G877" s="1">
        <f t="shared" si="3"/>
        <v>21</v>
      </c>
      <c r="H877" s="6">
        <f t="shared" si="4"/>
        <v>0.02389078498</v>
      </c>
      <c r="I877" s="6">
        <f t="shared" si="5"/>
        <v>0.976109215</v>
      </c>
      <c r="J877" s="1">
        <f t="shared" si="6"/>
        <v>21</v>
      </c>
      <c r="K877" s="1" t="str">
        <f t="shared" si="7"/>
        <v>Over Forecast</v>
      </c>
      <c r="L877" s="1">
        <f>F877+J876</f>
        <v>-30</v>
      </c>
      <c r="M877" s="7">
        <f t="shared" si="10"/>
        <v>65.25913242</v>
      </c>
      <c r="N877" s="7">
        <f t="shared" si="8"/>
        <v>-0.4597057743</v>
      </c>
      <c r="O877" s="2" t="str">
        <f t="shared" si="9"/>
        <v>Acceptable</v>
      </c>
    </row>
    <row r="878" ht="15.75" customHeight="1">
      <c r="A878" s="1" t="s">
        <v>102</v>
      </c>
      <c r="B878" s="1" t="s">
        <v>69</v>
      </c>
      <c r="C878" s="1" t="s">
        <v>17</v>
      </c>
      <c r="D878" s="1">
        <v>694.0</v>
      </c>
      <c r="E878" s="1">
        <v>631.0</v>
      </c>
      <c r="F878" s="1">
        <f t="shared" si="2"/>
        <v>-63</v>
      </c>
      <c r="G878" s="1">
        <f t="shared" si="3"/>
        <v>63</v>
      </c>
      <c r="H878" s="6">
        <f t="shared" si="4"/>
        <v>0.09077809798</v>
      </c>
      <c r="I878" s="6">
        <f t="shared" si="5"/>
        <v>0.909221902</v>
      </c>
      <c r="J878" s="1">
        <f t="shared" si="6"/>
        <v>-63</v>
      </c>
      <c r="K878" s="1" t="str">
        <f t="shared" si="7"/>
        <v>Under Forecast</v>
      </c>
      <c r="L878" s="1">
        <f>F878</f>
        <v>-63</v>
      </c>
      <c r="M878" s="7">
        <f t="shared" si="10"/>
        <v>65.25655644</v>
      </c>
      <c r="N878" s="7">
        <f t="shared" si="8"/>
        <v>-0.9654202341</v>
      </c>
      <c r="O878" s="2" t="str">
        <f t="shared" si="9"/>
        <v>Acceptable</v>
      </c>
    </row>
    <row r="879" ht="15.75" customHeight="1">
      <c r="A879" s="1" t="s">
        <v>102</v>
      </c>
      <c r="B879" s="1" t="s">
        <v>69</v>
      </c>
      <c r="C879" s="1" t="s">
        <v>18</v>
      </c>
      <c r="D879" s="1">
        <v>734.0</v>
      </c>
      <c r="E879" s="1">
        <v>753.0</v>
      </c>
      <c r="F879" s="1">
        <f t="shared" si="2"/>
        <v>19</v>
      </c>
      <c r="G879" s="1">
        <f t="shared" si="3"/>
        <v>19</v>
      </c>
      <c r="H879" s="6">
        <f t="shared" si="4"/>
        <v>0.02588555858</v>
      </c>
      <c r="I879" s="6">
        <f t="shared" si="5"/>
        <v>0.9741144414</v>
      </c>
      <c r="J879" s="1">
        <f t="shared" si="6"/>
        <v>19</v>
      </c>
      <c r="K879" s="1" t="str">
        <f t="shared" si="7"/>
        <v>Over Forecast</v>
      </c>
      <c r="L879" s="1">
        <f>F879+J878</f>
        <v>-44</v>
      </c>
      <c r="M879" s="7">
        <f t="shared" si="10"/>
        <v>65.20387244</v>
      </c>
      <c r="N879" s="7">
        <f t="shared" si="8"/>
        <v>-0.6748065468</v>
      </c>
      <c r="O879" s="2" t="str">
        <f t="shared" si="9"/>
        <v>Acceptable</v>
      </c>
    </row>
    <row r="880" ht="15.75" customHeight="1">
      <c r="A880" s="1" t="s">
        <v>102</v>
      </c>
      <c r="B880" s="1" t="s">
        <v>69</v>
      </c>
      <c r="C880" s="1" t="s">
        <v>19</v>
      </c>
      <c r="D880" s="1">
        <v>821.0</v>
      </c>
      <c r="E880" s="1">
        <v>829.0</v>
      </c>
      <c r="F880" s="1">
        <f t="shared" si="2"/>
        <v>8</v>
      </c>
      <c r="G880" s="1">
        <f t="shared" si="3"/>
        <v>8</v>
      </c>
      <c r="H880" s="6">
        <f t="shared" si="4"/>
        <v>0.009744214373</v>
      </c>
      <c r="I880" s="6">
        <f t="shared" si="5"/>
        <v>0.9902557856</v>
      </c>
      <c r="J880" s="1">
        <f t="shared" si="6"/>
        <v>8</v>
      </c>
      <c r="K880" s="1" t="str">
        <f t="shared" si="7"/>
        <v>Over Forecast</v>
      </c>
      <c r="L880" s="1">
        <f>F880</f>
        <v>8</v>
      </c>
      <c r="M880" s="7">
        <f t="shared" si="10"/>
        <v>65.13879408</v>
      </c>
      <c r="N880" s="7">
        <f t="shared" si="8"/>
        <v>0.1228146777</v>
      </c>
      <c r="O880" s="2" t="str">
        <f t="shared" si="9"/>
        <v>Acceptable</v>
      </c>
    </row>
    <row r="881" ht="15.75" customHeight="1">
      <c r="A881" s="1" t="s">
        <v>102</v>
      </c>
      <c r="B881" s="1" t="s">
        <v>69</v>
      </c>
      <c r="C881" s="1" t="s">
        <v>20</v>
      </c>
      <c r="D881" s="1">
        <v>839.0</v>
      </c>
      <c r="E881" s="1">
        <v>728.0</v>
      </c>
      <c r="F881" s="1">
        <f t="shared" si="2"/>
        <v>-111</v>
      </c>
      <c r="G881" s="1">
        <f t="shared" si="3"/>
        <v>111</v>
      </c>
      <c r="H881" s="6">
        <f t="shared" si="4"/>
        <v>0.1323003576</v>
      </c>
      <c r="I881" s="6">
        <f t="shared" si="5"/>
        <v>0.8676996424</v>
      </c>
      <c r="J881" s="1">
        <f t="shared" si="6"/>
        <v>-111</v>
      </c>
      <c r="K881" s="1" t="str">
        <f t="shared" si="7"/>
        <v>Under Forecast</v>
      </c>
      <c r="L881" s="1">
        <f>F881+J880</f>
        <v>-103</v>
      </c>
      <c r="M881" s="7">
        <f t="shared" si="10"/>
        <v>65.19090909</v>
      </c>
      <c r="N881" s="7">
        <f t="shared" si="8"/>
        <v>-1.579974899</v>
      </c>
      <c r="O881" s="2" t="str">
        <f t="shared" si="9"/>
        <v>Acceptable</v>
      </c>
    </row>
    <row r="882" ht="15.75" customHeight="1">
      <c r="A882" s="1" t="s">
        <v>102</v>
      </c>
      <c r="B882" s="1" t="s">
        <v>69</v>
      </c>
      <c r="C882" s="1" t="s">
        <v>21</v>
      </c>
      <c r="D882" s="1">
        <v>825.0</v>
      </c>
      <c r="E882" s="1">
        <v>678.0</v>
      </c>
      <c r="F882" s="1">
        <f t="shared" si="2"/>
        <v>-147</v>
      </c>
      <c r="G882" s="1">
        <f t="shared" si="3"/>
        <v>147</v>
      </c>
      <c r="H882" s="6">
        <f t="shared" si="4"/>
        <v>0.1781818182</v>
      </c>
      <c r="I882" s="6">
        <f t="shared" si="5"/>
        <v>0.8218181818</v>
      </c>
      <c r="J882" s="1">
        <f t="shared" si="6"/>
        <v>-147</v>
      </c>
      <c r="K882" s="1" t="str">
        <f t="shared" si="7"/>
        <v>Under Forecast</v>
      </c>
      <c r="L882" s="1">
        <f>F882</f>
        <v>-147</v>
      </c>
      <c r="M882" s="7">
        <f t="shared" si="10"/>
        <v>65.28376844</v>
      </c>
      <c r="N882" s="7">
        <f t="shared" si="8"/>
        <v>-2.25170825</v>
      </c>
      <c r="O882" s="2" t="str">
        <f t="shared" si="9"/>
        <v>Acceptable</v>
      </c>
    </row>
    <row r="883" ht="15.75" customHeight="1">
      <c r="A883" s="1" t="s">
        <v>102</v>
      </c>
      <c r="B883" s="1" t="s">
        <v>69</v>
      </c>
      <c r="C883" s="1" t="s">
        <v>22</v>
      </c>
      <c r="D883" s="1">
        <v>815.0</v>
      </c>
      <c r="E883" s="1">
        <v>845.0</v>
      </c>
      <c r="F883" s="1">
        <f t="shared" si="2"/>
        <v>30</v>
      </c>
      <c r="G883" s="1">
        <f t="shared" si="3"/>
        <v>30</v>
      </c>
      <c r="H883" s="6">
        <f t="shared" si="4"/>
        <v>0.03680981595</v>
      </c>
      <c r="I883" s="6">
        <f t="shared" si="5"/>
        <v>0.963190184</v>
      </c>
      <c r="J883" s="1">
        <f t="shared" si="6"/>
        <v>30</v>
      </c>
      <c r="K883" s="1" t="str">
        <f t="shared" si="7"/>
        <v>Over Forecast</v>
      </c>
      <c r="L883" s="1">
        <f>F883+J882</f>
        <v>-117</v>
      </c>
      <c r="M883" s="7">
        <f t="shared" si="10"/>
        <v>65.24376417</v>
      </c>
      <c r="N883" s="7">
        <f t="shared" si="8"/>
        <v>-1.793274828</v>
      </c>
      <c r="O883" s="2" t="str">
        <f t="shared" si="9"/>
        <v>Acceptable</v>
      </c>
    </row>
    <row r="884" ht="15.75" customHeight="1">
      <c r="A884" s="1" t="s">
        <v>102</v>
      </c>
      <c r="B884" s="1" t="s">
        <v>69</v>
      </c>
      <c r="C884" s="1" t="s">
        <v>23</v>
      </c>
      <c r="D884" s="1">
        <v>973.0</v>
      </c>
      <c r="E884" s="1">
        <v>826.0</v>
      </c>
      <c r="F884" s="1">
        <f t="shared" si="2"/>
        <v>-147</v>
      </c>
      <c r="G884" s="1">
        <f t="shared" si="3"/>
        <v>147</v>
      </c>
      <c r="H884" s="6">
        <f t="shared" si="4"/>
        <v>0.1510791367</v>
      </c>
      <c r="I884" s="6">
        <f t="shared" si="5"/>
        <v>0.8489208633</v>
      </c>
      <c r="J884" s="1">
        <f t="shared" si="6"/>
        <v>-147</v>
      </c>
      <c r="K884" s="1" t="str">
        <f t="shared" si="7"/>
        <v>Under Forecast</v>
      </c>
      <c r="L884" s="1">
        <f>F884</f>
        <v>-147</v>
      </c>
      <c r="M884" s="7">
        <f t="shared" si="10"/>
        <v>65.33635334</v>
      </c>
      <c r="N884" s="7">
        <f t="shared" si="8"/>
        <v>-2.249895999</v>
      </c>
      <c r="O884" s="2" t="str">
        <f t="shared" si="9"/>
        <v>Acceptable</v>
      </c>
    </row>
    <row r="885" ht="15.75" customHeight="1">
      <c r="A885" s="1" t="s">
        <v>102</v>
      </c>
      <c r="B885" s="1" t="s">
        <v>69</v>
      </c>
      <c r="C885" s="1" t="s">
        <v>24</v>
      </c>
      <c r="D885" s="1">
        <v>849.0</v>
      </c>
      <c r="E885" s="1">
        <v>899.0</v>
      </c>
      <c r="F885" s="1">
        <f t="shared" si="2"/>
        <v>50</v>
      </c>
      <c r="G885" s="1">
        <f t="shared" si="3"/>
        <v>50</v>
      </c>
      <c r="H885" s="6">
        <f t="shared" si="4"/>
        <v>0.05889281508</v>
      </c>
      <c r="I885" s="6">
        <f t="shared" si="5"/>
        <v>0.9411071849</v>
      </c>
      <c r="J885" s="1">
        <f t="shared" si="6"/>
        <v>50</v>
      </c>
      <c r="K885" s="1" t="str">
        <f t="shared" si="7"/>
        <v>Over Forecast</v>
      </c>
      <c r="L885" s="1">
        <f>F885+J884</f>
        <v>-97</v>
      </c>
      <c r="M885" s="7">
        <f t="shared" si="10"/>
        <v>65.31900452</v>
      </c>
      <c r="N885" s="7">
        <f t="shared" si="8"/>
        <v>-1.48501957</v>
      </c>
      <c r="O885" s="2" t="str">
        <f t="shared" si="9"/>
        <v>Acceptable</v>
      </c>
    </row>
    <row r="886" ht="15.75" customHeight="1">
      <c r="A886" s="1" t="s">
        <v>102</v>
      </c>
      <c r="B886" s="1" t="s">
        <v>69</v>
      </c>
      <c r="C886" s="1" t="s">
        <v>25</v>
      </c>
      <c r="D886" s="1">
        <v>780.0</v>
      </c>
      <c r="E886" s="1">
        <v>769.0</v>
      </c>
      <c r="F886" s="1">
        <f t="shared" si="2"/>
        <v>-11</v>
      </c>
      <c r="G886" s="1">
        <f t="shared" si="3"/>
        <v>11</v>
      </c>
      <c r="H886" s="6">
        <f t="shared" si="4"/>
        <v>0.0141025641</v>
      </c>
      <c r="I886" s="6">
        <f t="shared" si="5"/>
        <v>0.9858974359</v>
      </c>
      <c r="J886" s="1">
        <f t="shared" si="6"/>
        <v>-11</v>
      </c>
      <c r="K886" s="1" t="str">
        <f t="shared" si="7"/>
        <v>Under Forecast</v>
      </c>
      <c r="L886" s="1">
        <f>F886</f>
        <v>-11</v>
      </c>
      <c r="M886" s="7">
        <f t="shared" si="10"/>
        <v>65.25762712</v>
      </c>
      <c r="N886" s="7">
        <f t="shared" si="8"/>
        <v>-0.1685626721</v>
      </c>
      <c r="O886" s="2" t="str">
        <f t="shared" si="9"/>
        <v>Acceptable</v>
      </c>
    </row>
    <row r="887" ht="15.75" customHeight="1">
      <c r="A887" s="1" t="s">
        <v>102</v>
      </c>
      <c r="B887" s="1" t="s">
        <v>69</v>
      </c>
      <c r="C887" s="1" t="s">
        <v>26</v>
      </c>
      <c r="D887" s="1">
        <v>862.0</v>
      </c>
      <c r="E887" s="1">
        <v>866.0</v>
      </c>
      <c r="F887" s="1">
        <f t="shared" si="2"/>
        <v>4</v>
      </c>
      <c r="G887" s="1">
        <f t="shared" si="3"/>
        <v>4</v>
      </c>
      <c r="H887" s="6">
        <f t="shared" si="4"/>
        <v>0.00464037123</v>
      </c>
      <c r="I887" s="6">
        <f t="shared" si="5"/>
        <v>0.9953596288</v>
      </c>
      <c r="J887" s="1">
        <f t="shared" si="6"/>
        <v>4</v>
      </c>
      <c r="K887" s="1" t="str">
        <f t="shared" si="7"/>
        <v>Over Forecast</v>
      </c>
      <c r="L887" s="1">
        <f>F887+J886</f>
        <v>-7</v>
      </c>
      <c r="M887" s="7">
        <f t="shared" si="10"/>
        <v>65.18848758</v>
      </c>
      <c r="N887" s="7">
        <f t="shared" si="8"/>
        <v>-0.1073809235</v>
      </c>
      <c r="O887" s="2" t="str">
        <f t="shared" si="9"/>
        <v>Acceptable</v>
      </c>
    </row>
    <row r="888" ht="15.75" customHeight="1">
      <c r="A888" s="1" t="s">
        <v>102</v>
      </c>
      <c r="B888" s="1" t="s">
        <v>69</v>
      </c>
      <c r="C888" s="1" t="s">
        <v>27</v>
      </c>
      <c r="D888" s="1">
        <v>767.0</v>
      </c>
      <c r="E888" s="1">
        <v>710.0</v>
      </c>
      <c r="F888" s="1">
        <f t="shared" si="2"/>
        <v>-57</v>
      </c>
      <c r="G888" s="1">
        <f t="shared" si="3"/>
        <v>57</v>
      </c>
      <c r="H888" s="6">
        <f t="shared" si="4"/>
        <v>0.07431551499</v>
      </c>
      <c r="I888" s="6">
        <f t="shared" si="5"/>
        <v>0.925684485</v>
      </c>
      <c r="J888" s="1">
        <f t="shared" si="6"/>
        <v>-57</v>
      </c>
      <c r="K888" s="1" t="str">
        <f t="shared" si="7"/>
        <v>Under Forecast</v>
      </c>
      <c r="L888" s="1">
        <f>F888</f>
        <v>-57</v>
      </c>
      <c r="M888" s="7">
        <f t="shared" si="10"/>
        <v>65.17925592</v>
      </c>
      <c r="N888" s="7">
        <f t="shared" si="8"/>
        <v>-0.874511364</v>
      </c>
      <c r="O888" s="2" t="str">
        <f t="shared" si="9"/>
        <v>Acceptable</v>
      </c>
    </row>
    <row r="889" ht="15.75" customHeight="1">
      <c r="A889" s="1" t="s">
        <v>102</v>
      </c>
      <c r="B889" s="1" t="s">
        <v>69</v>
      </c>
      <c r="C889" s="1" t="s">
        <v>28</v>
      </c>
      <c r="D889" s="1">
        <v>850.0</v>
      </c>
      <c r="E889" s="1">
        <v>838.0</v>
      </c>
      <c r="F889" s="1">
        <f t="shared" si="2"/>
        <v>-12</v>
      </c>
      <c r="G889" s="1">
        <f t="shared" si="3"/>
        <v>12</v>
      </c>
      <c r="H889" s="6">
        <f t="shared" si="4"/>
        <v>0.01411764706</v>
      </c>
      <c r="I889" s="6">
        <f t="shared" si="5"/>
        <v>0.9858823529</v>
      </c>
      <c r="J889" s="1">
        <f t="shared" si="6"/>
        <v>-12</v>
      </c>
      <c r="K889" s="1" t="str">
        <f t="shared" si="7"/>
        <v>Under Forecast</v>
      </c>
      <c r="L889" s="1">
        <f>F889+J888</f>
        <v>-69</v>
      </c>
      <c r="M889" s="7">
        <f t="shared" si="10"/>
        <v>65.11936937</v>
      </c>
      <c r="N889" s="7">
        <f t="shared" si="8"/>
        <v>-1.059592571</v>
      </c>
      <c r="O889" s="2" t="str">
        <f t="shared" si="9"/>
        <v>Acceptable</v>
      </c>
    </row>
    <row r="890" ht="15.75" customHeight="1">
      <c r="A890" s="1" t="s">
        <v>103</v>
      </c>
      <c r="B890" s="1" t="s">
        <v>69</v>
      </c>
      <c r="C890" s="1" t="s">
        <v>17</v>
      </c>
      <c r="D890" s="1">
        <v>399.0</v>
      </c>
      <c r="E890" s="1">
        <v>458.0</v>
      </c>
      <c r="F890" s="1">
        <f t="shared" si="2"/>
        <v>59</v>
      </c>
      <c r="G890" s="1">
        <f t="shared" si="3"/>
        <v>59</v>
      </c>
      <c r="H890" s="6">
        <f t="shared" si="4"/>
        <v>0.1478696742</v>
      </c>
      <c r="I890" s="6">
        <f t="shared" si="5"/>
        <v>0.8521303258</v>
      </c>
      <c r="J890" s="1">
        <f t="shared" si="6"/>
        <v>59</v>
      </c>
      <c r="K890" s="1" t="str">
        <f t="shared" si="7"/>
        <v>Over Forecast</v>
      </c>
      <c r="L890" s="1">
        <f>F890</f>
        <v>59</v>
      </c>
      <c r="M890" s="7">
        <f t="shared" si="10"/>
        <v>65.11248594</v>
      </c>
      <c r="N890" s="7">
        <f t="shared" si="8"/>
        <v>0.9061242118</v>
      </c>
      <c r="O890" s="2" t="str">
        <f t="shared" si="9"/>
        <v>Acceptable</v>
      </c>
    </row>
    <row r="891" ht="15.75" customHeight="1">
      <c r="A891" s="1" t="s">
        <v>103</v>
      </c>
      <c r="B891" s="1" t="s">
        <v>69</v>
      </c>
      <c r="C891" s="1" t="s">
        <v>18</v>
      </c>
      <c r="D891" s="1">
        <v>356.0</v>
      </c>
      <c r="E891" s="1">
        <v>400.0</v>
      </c>
      <c r="F891" s="1">
        <f t="shared" si="2"/>
        <v>44</v>
      </c>
      <c r="G891" s="1">
        <f t="shared" si="3"/>
        <v>44</v>
      </c>
      <c r="H891" s="6">
        <f t="shared" si="4"/>
        <v>0.1235955056</v>
      </c>
      <c r="I891" s="6">
        <f t="shared" si="5"/>
        <v>0.8764044944</v>
      </c>
      <c r="J891" s="1">
        <f t="shared" si="6"/>
        <v>44</v>
      </c>
      <c r="K891" s="1" t="str">
        <f t="shared" si="7"/>
        <v>Over Forecast</v>
      </c>
      <c r="L891" s="1">
        <f>F891+J890</f>
        <v>103</v>
      </c>
      <c r="M891" s="7">
        <f t="shared" si="10"/>
        <v>65.08876404</v>
      </c>
      <c r="N891" s="7">
        <f t="shared" si="8"/>
        <v>1.582454384</v>
      </c>
      <c r="O891" s="2" t="str">
        <f t="shared" si="9"/>
        <v>Acceptable</v>
      </c>
    </row>
    <row r="892" ht="15.75" customHeight="1">
      <c r="A892" s="1" t="s">
        <v>103</v>
      </c>
      <c r="B892" s="1" t="s">
        <v>69</v>
      </c>
      <c r="C892" s="1" t="s">
        <v>19</v>
      </c>
      <c r="D892" s="1">
        <v>443.0</v>
      </c>
      <c r="E892" s="1">
        <v>488.0</v>
      </c>
      <c r="F892" s="1">
        <f t="shared" si="2"/>
        <v>45</v>
      </c>
      <c r="G892" s="1">
        <f t="shared" si="3"/>
        <v>45</v>
      </c>
      <c r="H892" s="6">
        <f t="shared" si="4"/>
        <v>0.1015801354</v>
      </c>
      <c r="I892" s="6">
        <f t="shared" si="5"/>
        <v>0.8984198646</v>
      </c>
      <c r="J892" s="1">
        <f t="shared" si="6"/>
        <v>45</v>
      </c>
      <c r="K892" s="1" t="str">
        <f t="shared" si="7"/>
        <v>Over Forecast</v>
      </c>
      <c r="L892" s="1">
        <f>F892</f>
        <v>45</v>
      </c>
      <c r="M892" s="7">
        <f t="shared" si="10"/>
        <v>65.06621773</v>
      </c>
      <c r="N892" s="7">
        <f t="shared" si="8"/>
        <v>0.6916031324</v>
      </c>
      <c r="O892" s="2" t="str">
        <f t="shared" si="9"/>
        <v>Acceptable</v>
      </c>
    </row>
    <row r="893" ht="15.75" customHeight="1">
      <c r="A893" s="1" t="s">
        <v>103</v>
      </c>
      <c r="B893" s="1" t="s">
        <v>69</v>
      </c>
      <c r="C893" s="1" t="s">
        <v>20</v>
      </c>
      <c r="D893" s="1">
        <v>467.0</v>
      </c>
      <c r="E893" s="1">
        <v>538.0</v>
      </c>
      <c r="F893" s="1">
        <f t="shared" si="2"/>
        <v>71</v>
      </c>
      <c r="G893" s="1">
        <f t="shared" si="3"/>
        <v>71</v>
      </c>
      <c r="H893" s="6">
        <f t="shared" si="4"/>
        <v>0.1520342612</v>
      </c>
      <c r="I893" s="6">
        <f t="shared" si="5"/>
        <v>0.8479657388</v>
      </c>
      <c r="J893" s="1">
        <f t="shared" si="6"/>
        <v>71</v>
      </c>
      <c r="K893" s="1" t="str">
        <f t="shared" si="7"/>
        <v>Over Forecast</v>
      </c>
      <c r="L893" s="1">
        <f>F893+J892</f>
        <v>116</v>
      </c>
      <c r="M893" s="7">
        <f t="shared" si="10"/>
        <v>65.07286996</v>
      </c>
      <c r="N893" s="7">
        <f t="shared" si="8"/>
        <v>1.782616935</v>
      </c>
      <c r="O893" s="2" t="str">
        <f t="shared" si="9"/>
        <v>Acceptable</v>
      </c>
    </row>
    <row r="894" ht="15.75" customHeight="1">
      <c r="A894" s="1" t="s">
        <v>103</v>
      </c>
      <c r="B894" s="1" t="s">
        <v>69</v>
      </c>
      <c r="C894" s="1" t="s">
        <v>21</v>
      </c>
      <c r="D894" s="1">
        <v>465.0</v>
      </c>
      <c r="E894" s="1">
        <v>488.0</v>
      </c>
      <c r="F894" s="1">
        <f t="shared" si="2"/>
        <v>23</v>
      </c>
      <c r="G894" s="1">
        <f t="shared" si="3"/>
        <v>23</v>
      </c>
      <c r="H894" s="6">
        <f t="shared" si="4"/>
        <v>0.04946236559</v>
      </c>
      <c r="I894" s="6">
        <f t="shared" si="5"/>
        <v>0.9505376344</v>
      </c>
      <c r="J894" s="1">
        <f t="shared" si="6"/>
        <v>23</v>
      </c>
      <c r="K894" s="1" t="str">
        <f t="shared" si="7"/>
        <v>Over Forecast</v>
      </c>
      <c r="L894" s="1">
        <f>F894</f>
        <v>23</v>
      </c>
      <c r="M894" s="7">
        <f t="shared" si="10"/>
        <v>65.02575588</v>
      </c>
      <c r="N894" s="7">
        <f t="shared" si="8"/>
        <v>0.3537059999</v>
      </c>
      <c r="O894" s="2" t="str">
        <f t="shared" si="9"/>
        <v>Acceptable</v>
      </c>
    </row>
    <row r="895" ht="15.75" customHeight="1">
      <c r="A895" s="1" t="s">
        <v>103</v>
      </c>
      <c r="B895" s="1" t="s">
        <v>69</v>
      </c>
      <c r="C895" s="1" t="s">
        <v>22</v>
      </c>
      <c r="D895" s="1">
        <v>451.0</v>
      </c>
      <c r="E895" s="1">
        <v>458.0</v>
      </c>
      <c r="F895" s="1">
        <f t="shared" si="2"/>
        <v>7</v>
      </c>
      <c r="G895" s="1">
        <f t="shared" si="3"/>
        <v>7</v>
      </c>
      <c r="H895" s="6">
        <f t="shared" si="4"/>
        <v>0.0155210643</v>
      </c>
      <c r="I895" s="6">
        <f t="shared" si="5"/>
        <v>0.9844789357</v>
      </c>
      <c r="J895" s="1">
        <f t="shared" si="6"/>
        <v>7</v>
      </c>
      <c r="K895" s="1" t="str">
        <f t="shared" si="7"/>
        <v>Over Forecast</v>
      </c>
      <c r="L895" s="1">
        <f>F895+J894</f>
        <v>30</v>
      </c>
      <c r="M895" s="7">
        <f t="shared" si="10"/>
        <v>64.96085011</v>
      </c>
      <c r="N895" s="7">
        <f t="shared" si="8"/>
        <v>0.4618166164</v>
      </c>
      <c r="O895" s="2" t="str">
        <f t="shared" si="9"/>
        <v>Acceptable</v>
      </c>
    </row>
    <row r="896" ht="15.75" customHeight="1">
      <c r="A896" s="1" t="s">
        <v>103</v>
      </c>
      <c r="B896" s="1" t="s">
        <v>69</v>
      </c>
      <c r="C896" s="1" t="s">
        <v>23</v>
      </c>
      <c r="D896" s="1">
        <v>523.0</v>
      </c>
      <c r="E896" s="1">
        <v>593.0</v>
      </c>
      <c r="F896" s="1">
        <f t="shared" si="2"/>
        <v>70</v>
      </c>
      <c r="G896" s="1">
        <f t="shared" si="3"/>
        <v>70</v>
      </c>
      <c r="H896" s="6">
        <f t="shared" si="4"/>
        <v>0.1338432122</v>
      </c>
      <c r="I896" s="6">
        <f t="shared" si="5"/>
        <v>0.8661567878</v>
      </c>
      <c r="J896" s="1">
        <f t="shared" si="6"/>
        <v>70</v>
      </c>
      <c r="K896" s="1" t="str">
        <f t="shared" si="7"/>
        <v>Over Forecast</v>
      </c>
      <c r="L896" s="1">
        <f>F896</f>
        <v>70</v>
      </c>
      <c r="M896" s="7">
        <f t="shared" si="10"/>
        <v>64.96648045</v>
      </c>
      <c r="N896" s="7">
        <f t="shared" si="8"/>
        <v>1.077478717</v>
      </c>
      <c r="O896" s="2" t="str">
        <f t="shared" si="9"/>
        <v>Acceptable</v>
      </c>
    </row>
    <row r="897" ht="15.75" customHeight="1">
      <c r="A897" s="1" t="s">
        <v>103</v>
      </c>
      <c r="B897" s="1" t="s">
        <v>69</v>
      </c>
      <c r="C897" s="1" t="s">
        <v>24</v>
      </c>
      <c r="D897" s="1">
        <v>473.0</v>
      </c>
      <c r="E897" s="1">
        <v>445.0</v>
      </c>
      <c r="F897" s="1">
        <f t="shared" si="2"/>
        <v>-28</v>
      </c>
      <c r="G897" s="1">
        <f t="shared" si="3"/>
        <v>28</v>
      </c>
      <c r="H897" s="6">
        <f t="shared" si="4"/>
        <v>0.05919661734</v>
      </c>
      <c r="I897" s="6">
        <f t="shared" si="5"/>
        <v>0.9408033827</v>
      </c>
      <c r="J897" s="1">
        <f t="shared" si="6"/>
        <v>-28</v>
      </c>
      <c r="K897" s="1" t="str">
        <f t="shared" si="7"/>
        <v>Under Forecast</v>
      </c>
      <c r="L897" s="1">
        <f>F897+J896</f>
        <v>42</v>
      </c>
      <c r="M897" s="7">
        <f t="shared" si="10"/>
        <v>64.92522321</v>
      </c>
      <c r="N897" s="7">
        <f t="shared" si="8"/>
        <v>0.6468980455</v>
      </c>
      <c r="O897" s="2" t="str">
        <f t="shared" si="9"/>
        <v>Acceptable</v>
      </c>
    </row>
    <row r="898" ht="15.75" customHeight="1">
      <c r="A898" s="1" t="s">
        <v>103</v>
      </c>
      <c r="B898" s="1" t="s">
        <v>69</v>
      </c>
      <c r="C898" s="1" t="s">
        <v>25</v>
      </c>
      <c r="D898" s="1">
        <v>501.0</v>
      </c>
      <c r="E898" s="1">
        <v>451.0</v>
      </c>
      <c r="F898" s="1">
        <f t="shared" si="2"/>
        <v>-50</v>
      </c>
      <c r="G898" s="1">
        <f t="shared" si="3"/>
        <v>50</v>
      </c>
      <c r="H898" s="6">
        <f t="shared" si="4"/>
        <v>0.0998003992</v>
      </c>
      <c r="I898" s="6">
        <f t="shared" si="5"/>
        <v>0.9001996008</v>
      </c>
      <c r="J898" s="1">
        <f t="shared" si="6"/>
        <v>-50</v>
      </c>
      <c r="K898" s="1" t="str">
        <f t="shared" si="7"/>
        <v>Under Forecast</v>
      </c>
      <c r="L898" s="1">
        <f>F898</f>
        <v>-50</v>
      </c>
      <c r="M898" s="7">
        <f t="shared" si="10"/>
        <v>64.90858417</v>
      </c>
      <c r="N898" s="7">
        <f t="shared" si="8"/>
        <v>-0.770314137</v>
      </c>
      <c r="O898" s="2" t="str">
        <f t="shared" si="9"/>
        <v>Acceptable</v>
      </c>
    </row>
    <row r="899" ht="15.75" customHeight="1">
      <c r="A899" s="1" t="s">
        <v>103</v>
      </c>
      <c r="B899" s="1" t="s">
        <v>69</v>
      </c>
      <c r="C899" s="1" t="s">
        <v>26</v>
      </c>
      <c r="D899" s="1">
        <v>456.0</v>
      </c>
      <c r="E899" s="1">
        <v>414.0</v>
      </c>
      <c r="F899" s="1">
        <f t="shared" si="2"/>
        <v>-42</v>
      </c>
      <c r="G899" s="1">
        <f t="shared" si="3"/>
        <v>42</v>
      </c>
      <c r="H899" s="6">
        <f t="shared" si="4"/>
        <v>0.09210526316</v>
      </c>
      <c r="I899" s="6">
        <f t="shared" si="5"/>
        <v>0.9078947368</v>
      </c>
      <c r="J899" s="1">
        <f t="shared" si="6"/>
        <v>-42</v>
      </c>
      <c r="K899" s="1" t="str">
        <f t="shared" si="7"/>
        <v>Under Forecast</v>
      </c>
      <c r="L899" s="1">
        <f>F899+J898</f>
        <v>-92</v>
      </c>
      <c r="M899" s="7">
        <f t="shared" si="10"/>
        <v>64.8830735</v>
      </c>
      <c r="N899" s="7">
        <f t="shared" si="8"/>
        <v>-1.417935296</v>
      </c>
      <c r="O899" s="2" t="str">
        <f t="shared" si="9"/>
        <v>Acceptable</v>
      </c>
    </row>
    <row r="900" ht="15.75" customHeight="1">
      <c r="A900" s="1" t="s">
        <v>103</v>
      </c>
      <c r="B900" s="1" t="s">
        <v>69</v>
      </c>
      <c r="C900" s="1" t="s">
        <v>27</v>
      </c>
      <c r="D900" s="1">
        <v>456.0</v>
      </c>
      <c r="E900" s="1">
        <v>435.0</v>
      </c>
      <c r="F900" s="1">
        <f t="shared" si="2"/>
        <v>-21</v>
      </c>
      <c r="G900" s="1">
        <f t="shared" si="3"/>
        <v>21</v>
      </c>
      <c r="H900" s="6">
        <f t="shared" si="4"/>
        <v>0.04605263158</v>
      </c>
      <c r="I900" s="6">
        <f t="shared" si="5"/>
        <v>0.9539473684</v>
      </c>
      <c r="J900" s="1">
        <f t="shared" si="6"/>
        <v>-21</v>
      </c>
      <c r="K900" s="1" t="str">
        <f t="shared" si="7"/>
        <v>Under Forecast</v>
      </c>
      <c r="L900" s="1">
        <f>F900</f>
        <v>-21</v>
      </c>
      <c r="M900" s="7">
        <f t="shared" si="10"/>
        <v>64.83426029</v>
      </c>
      <c r="N900" s="7">
        <f t="shared" si="8"/>
        <v>-0.323902824</v>
      </c>
      <c r="O900" s="2" t="str">
        <f t="shared" si="9"/>
        <v>Acceptable</v>
      </c>
    </row>
    <row r="901" ht="15.75" customHeight="1">
      <c r="A901" s="1" t="s">
        <v>103</v>
      </c>
      <c r="B901" s="1" t="s">
        <v>69</v>
      </c>
      <c r="C901" s="1" t="s">
        <v>28</v>
      </c>
      <c r="D901" s="1">
        <v>474.0</v>
      </c>
      <c r="E901" s="1">
        <v>483.0</v>
      </c>
      <c r="F901" s="1">
        <f t="shared" si="2"/>
        <v>9</v>
      </c>
      <c r="G901" s="1">
        <f t="shared" si="3"/>
        <v>9</v>
      </c>
      <c r="H901" s="6">
        <f t="shared" si="4"/>
        <v>0.01898734177</v>
      </c>
      <c r="I901" s="6">
        <f t="shared" si="5"/>
        <v>0.9810126582</v>
      </c>
      <c r="J901" s="1">
        <f t="shared" si="6"/>
        <v>9</v>
      </c>
      <c r="K901" s="1" t="str">
        <f t="shared" si="7"/>
        <v>Over Forecast</v>
      </c>
      <c r="L901" s="1">
        <f>F901+J900</f>
        <v>-12</v>
      </c>
      <c r="M901" s="7">
        <f t="shared" si="10"/>
        <v>64.77222222</v>
      </c>
      <c r="N901" s="7">
        <f t="shared" si="8"/>
        <v>-0.1852646025</v>
      </c>
      <c r="O901" s="2" t="str">
        <f t="shared" si="9"/>
        <v>Acceptable</v>
      </c>
    </row>
    <row r="902" ht="15.75" customHeight="1">
      <c r="A902" s="1" t="s">
        <v>104</v>
      </c>
      <c r="B902" s="1" t="s">
        <v>105</v>
      </c>
      <c r="C902" s="1" t="s">
        <v>17</v>
      </c>
      <c r="D902" s="1">
        <v>118.0</v>
      </c>
      <c r="E902" s="1">
        <v>88.0</v>
      </c>
      <c r="F902" s="1">
        <f t="shared" si="2"/>
        <v>-30</v>
      </c>
      <c r="G902" s="1">
        <f t="shared" si="3"/>
        <v>30</v>
      </c>
      <c r="H902" s="6">
        <f t="shared" si="4"/>
        <v>0.2542372881</v>
      </c>
      <c r="I902" s="6">
        <f t="shared" si="5"/>
        <v>0.7457627119</v>
      </c>
      <c r="J902" s="1">
        <f t="shared" si="6"/>
        <v>-30</v>
      </c>
      <c r="K902" s="1" t="str">
        <f t="shared" si="7"/>
        <v>Under Forecast</v>
      </c>
      <c r="L902" s="1">
        <f>F902</f>
        <v>-30</v>
      </c>
      <c r="M902" s="7">
        <f t="shared" si="10"/>
        <v>64.7336293</v>
      </c>
      <c r="N902" s="7">
        <f t="shared" si="8"/>
        <v>-0.4634376339</v>
      </c>
      <c r="O902" s="2" t="str">
        <f t="shared" si="9"/>
        <v>Acceptable</v>
      </c>
    </row>
    <row r="903" ht="15.75" customHeight="1">
      <c r="A903" s="1" t="s">
        <v>104</v>
      </c>
      <c r="B903" s="1" t="s">
        <v>105</v>
      </c>
      <c r="C903" s="1" t="s">
        <v>18</v>
      </c>
      <c r="D903" s="1">
        <v>121.0</v>
      </c>
      <c r="E903" s="1">
        <v>121.0</v>
      </c>
      <c r="F903" s="1">
        <f t="shared" si="2"/>
        <v>0</v>
      </c>
      <c r="G903" s="1">
        <f t="shared" si="3"/>
        <v>0</v>
      </c>
      <c r="H903" s="6">
        <f t="shared" si="4"/>
        <v>0</v>
      </c>
      <c r="I903" s="6">
        <f t="shared" si="5"/>
        <v>1</v>
      </c>
      <c r="J903" s="1">
        <f t="shared" si="6"/>
        <v>0</v>
      </c>
      <c r="K903" s="1" t="str">
        <f t="shared" si="7"/>
        <v>Accurate Forecast</v>
      </c>
      <c r="L903" s="1">
        <f>F903+J902</f>
        <v>-30</v>
      </c>
      <c r="M903" s="7">
        <f t="shared" si="10"/>
        <v>64.66186253</v>
      </c>
      <c r="N903" s="7">
        <f t="shared" si="8"/>
        <v>-0.4639519931</v>
      </c>
      <c r="O903" s="2" t="str">
        <f t="shared" si="9"/>
        <v>Acceptable</v>
      </c>
    </row>
    <row r="904" ht="15.75" customHeight="1">
      <c r="A904" s="1" t="s">
        <v>104</v>
      </c>
      <c r="B904" s="1" t="s">
        <v>105</v>
      </c>
      <c r="C904" s="1" t="s">
        <v>19</v>
      </c>
      <c r="D904" s="1">
        <v>127.0</v>
      </c>
      <c r="E904" s="1">
        <v>129.0</v>
      </c>
      <c r="F904" s="1">
        <f t="shared" si="2"/>
        <v>2</v>
      </c>
      <c r="G904" s="1">
        <f t="shared" si="3"/>
        <v>2</v>
      </c>
      <c r="H904" s="6">
        <f t="shared" si="4"/>
        <v>0.0157480315</v>
      </c>
      <c r="I904" s="6">
        <f t="shared" si="5"/>
        <v>0.9842519685</v>
      </c>
      <c r="J904" s="1">
        <f t="shared" si="6"/>
        <v>2</v>
      </c>
      <c r="K904" s="1" t="str">
        <f t="shared" si="7"/>
        <v>Over Forecast</v>
      </c>
      <c r="L904" s="1">
        <f>F904</f>
        <v>2</v>
      </c>
      <c r="M904" s="7">
        <f t="shared" si="10"/>
        <v>64.59246955</v>
      </c>
      <c r="N904" s="7">
        <f t="shared" si="8"/>
        <v>0.03096336174</v>
      </c>
      <c r="O904" s="2" t="str">
        <f t="shared" si="9"/>
        <v>Acceptable</v>
      </c>
    </row>
    <row r="905" ht="15.75" customHeight="1">
      <c r="A905" s="1" t="s">
        <v>104</v>
      </c>
      <c r="B905" s="1" t="s">
        <v>105</v>
      </c>
      <c r="C905" s="1" t="s">
        <v>20</v>
      </c>
      <c r="D905" s="1">
        <v>135.0</v>
      </c>
      <c r="E905" s="1">
        <v>151.0</v>
      </c>
      <c r="F905" s="1">
        <f t="shared" si="2"/>
        <v>16</v>
      </c>
      <c r="G905" s="1">
        <f t="shared" si="3"/>
        <v>16</v>
      </c>
      <c r="H905" s="6">
        <f t="shared" si="4"/>
        <v>0.1185185185</v>
      </c>
      <c r="I905" s="6">
        <f t="shared" si="5"/>
        <v>0.8814814815</v>
      </c>
      <c r="J905" s="1">
        <f t="shared" si="6"/>
        <v>16</v>
      </c>
      <c r="K905" s="1" t="str">
        <f t="shared" si="7"/>
        <v>Over Forecast</v>
      </c>
      <c r="L905" s="1">
        <f>F905+J904</f>
        <v>18</v>
      </c>
      <c r="M905" s="7">
        <f t="shared" si="10"/>
        <v>64.53871681</v>
      </c>
      <c r="N905" s="7">
        <f t="shared" si="8"/>
        <v>0.2789023533</v>
      </c>
      <c r="O905" s="2" t="str">
        <f t="shared" si="9"/>
        <v>Acceptable</v>
      </c>
    </row>
    <row r="906" ht="15.75" customHeight="1">
      <c r="A906" s="1" t="s">
        <v>104</v>
      </c>
      <c r="B906" s="1" t="s">
        <v>105</v>
      </c>
      <c r="C906" s="1" t="s">
        <v>21</v>
      </c>
      <c r="D906" s="1">
        <v>129.0</v>
      </c>
      <c r="E906" s="1">
        <v>146.0</v>
      </c>
      <c r="F906" s="1">
        <f t="shared" si="2"/>
        <v>17</v>
      </c>
      <c r="G906" s="1">
        <f t="shared" si="3"/>
        <v>17</v>
      </c>
      <c r="H906" s="6">
        <f t="shared" si="4"/>
        <v>0.1317829457</v>
      </c>
      <c r="I906" s="6">
        <f t="shared" si="5"/>
        <v>0.8682170543</v>
      </c>
      <c r="J906" s="1">
        <f t="shared" si="6"/>
        <v>17</v>
      </c>
      <c r="K906" s="1" t="str">
        <f t="shared" si="7"/>
        <v>Over Forecast</v>
      </c>
      <c r="L906" s="1">
        <f>F906</f>
        <v>17</v>
      </c>
      <c r="M906" s="7">
        <f t="shared" si="10"/>
        <v>64.48618785</v>
      </c>
      <c r="N906" s="7">
        <f t="shared" si="8"/>
        <v>0.2636223441</v>
      </c>
      <c r="O906" s="2" t="str">
        <f t="shared" si="9"/>
        <v>Acceptable</v>
      </c>
    </row>
    <row r="907" ht="15.75" customHeight="1">
      <c r="A907" s="1" t="s">
        <v>104</v>
      </c>
      <c r="B907" s="1" t="s">
        <v>105</v>
      </c>
      <c r="C907" s="1" t="s">
        <v>22</v>
      </c>
      <c r="D907" s="1">
        <v>139.0</v>
      </c>
      <c r="E907" s="1">
        <v>105.0</v>
      </c>
      <c r="F907" s="1">
        <f t="shared" si="2"/>
        <v>-34</v>
      </c>
      <c r="G907" s="1">
        <f t="shared" si="3"/>
        <v>34</v>
      </c>
      <c r="H907" s="6">
        <f t="shared" si="4"/>
        <v>0.2446043165</v>
      </c>
      <c r="I907" s="6">
        <f t="shared" si="5"/>
        <v>0.7553956835</v>
      </c>
      <c r="J907" s="1">
        <f t="shared" si="6"/>
        <v>-34</v>
      </c>
      <c r="K907" s="1" t="str">
        <f t="shared" si="7"/>
        <v>Under Forecast</v>
      </c>
      <c r="L907" s="1">
        <f>F907+J906</f>
        <v>-17</v>
      </c>
      <c r="M907" s="7">
        <f t="shared" si="10"/>
        <v>64.45253863</v>
      </c>
      <c r="N907" s="7">
        <f t="shared" si="8"/>
        <v>-0.2637599753</v>
      </c>
      <c r="O907" s="2" t="str">
        <f t="shared" si="9"/>
        <v>Acceptable</v>
      </c>
    </row>
    <row r="908" ht="15.75" customHeight="1">
      <c r="A908" s="1" t="s">
        <v>104</v>
      </c>
      <c r="B908" s="1" t="s">
        <v>105</v>
      </c>
      <c r="C908" s="1" t="s">
        <v>23</v>
      </c>
      <c r="D908" s="1">
        <v>130.0</v>
      </c>
      <c r="E908" s="1">
        <v>115.0</v>
      </c>
      <c r="F908" s="1">
        <f t="shared" si="2"/>
        <v>-15</v>
      </c>
      <c r="G908" s="1">
        <f t="shared" si="3"/>
        <v>15</v>
      </c>
      <c r="H908" s="6">
        <f t="shared" si="4"/>
        <v>0.1153846154</v>
      </c>
      <c r="I908" s="6">
        <f t="shared" si="5"/>
        <v>0.8846153846</v>
      </c>
      <c r="J908" s="1">
        <f t="shared" si="6"/>
        <v>-15</v>
      </c>
      <c r="K908" s="1" t="str">
        <f t="shared" si="7"/>
        <v>Under Forecast</v>
      </c>
      <c r="L908" s="1">
        <f>F908</f>
        <v>-15</v>
      </c>
      <c r="M908" s="7">
        <f t="shared" si="10"/>
        <v>64.39801544</v>
      </c>
      <c r="N908" s="7">
        <f t="shared" si="8"/>
        <v>-0.2329264326</v>
      </c>
      <c r="O908" s="2" t="str">
        <f t="shared" si="9"/>
        <v>Acceptable</v>
      </c>
    </row>
    <row r="909" ht="15.75" customHeight="1">
      <c r="A909" s="1" t="s">
        <v>104</v>
      </c>
      <c r="B909" s="1" t="s">
        <v>105</v>
      </c>
      <c r="C909" s="1" t="s">
        <v>24</v>
      </c>
      <c r="D909" s="1">
        <v>147.0</v>
      </c>
      <c r="E909" s="1">
        <v>157.0</v>
      </c>
      <c r="F909" s="1">
        <f t="shared" si="2"/>
        <v>10</v>
      </c>
      <c r="G909" s="1">
        <f t="shared" si="3"/>
        <v>10</v>
      </c>
      <c r="H909" s="6">
        <f t="shared" si="4"/>
        <v>0.06802721088</v>
      </c>
      <c r="I909" s="6">
        <f t="shared" si="5"/>
        <v>0.9319727891</v>
      </c>
      <c r="J909" s="1">
        <f t="shared" si="6"/>
        <v>10</v>
      </c>
      <c r="K909" s="1" t="str">
        <f t="shared" si="7"/>
        <v>Over Forecast</v>
      </c>
      <c r="L909" s="1">
        <f>F909+J908</f>
        <v>-5</v>
      </c>
      <c r="M909" s="7">
        <f t="shared" si="10"/>
        <v>64.33810573</v>
      </c>
      <c r="N909" s="7">
        <f t="shared" si="8"/>
        <v>-0.07771444222</v>
      </c>
      <c r="O909" s="2" t="str">
        <f t="shared" si="9"/>
        <v>Acceptable</v>
      </c>
    </row>
    <row r="910" ht="15.75" customHeight="1">
      <c r="A910" s="1" t="s">
        <v>104</v>
      </c>
      <c r="B910" s="1" t="s">
        <v>105</v>
      </c>
      <c r="C910" s="1" t="s">
        <v>25</v>
      </c>
      <c r="D910" s="1">
        <v>140.0</v>
      </c>
      <c r="E910" s="1">
        <v>137.0</v>
      </c>
      <c r="F910" s="1">
        <f t="shared" si="2"/>
        <v>-3</v>
      </c>
      <c r="G910" s="1">
        <f t="shared" si="3"/>
        <v>3</v>
      </c>
      <c r="H910" s="6">
        <f t="shared" si="4"/>
        <v>0.02142857143</v>
      </c>
      <c r="I910" s="6">
        <f t="shared" si="5"/>
        <v>0.9785714286</v>
      </c>
      <c r="J910" s="1">
        <f t="shared" si="6"/>
        <v>-3</v>
      </c>
      <c r="K910" s="1" t="str">
        <f t="shared" si="7"/>
        <v>Under Forecast</v>
      </c>
      <c r="L910" s="1">
        <f>F910</f>
        <v>-3</v>
      </c>
      <c r="M910" s="7">
        <f t="shared" si="10"/>
        <v>64.27062706</v>
      </c>
      <c r="N910" s="7">
        <f t="shared" si="8"/>
        <v>-0.04667762144</v>
      </c>
      <c r="O910" s="2" t="str">
        <f t="shared" si="9"/>
        <v>Acceptable</v>
      </c>
    </row>
    <row r="911" ht="15.75" customHeight="1">
      <c r="A911" s="1" t="s">
        <v>104</v>
      </c>
      <c r="B911" s="1" t="s">
        <v>105</v>
      </c>
      <c r="C911" s="1" t="s">
        <v>26</v>
      </c>
      <c r="D911" s="1">
        <v>129.0</v>
      </c>
      <c r="E911" s="1">
        <v>102.0</v>
      </c>
      <c r="F911" s="1">
        <f t="shared" si="2"/>
        <v>-27</v>
      </c>
      <c r="G911" s="1">
        <f t="shared" si="3"/>
        <v>27</v>
      </c>
      <c r="H911" s="6">
        <f t="shared" si="4"/>
        <v>0.2093023256</v>
      </c>
      <c r="I911" s="6">
        <f t="shared" si="5"/>
        <v>0.7906976744</v>
      </c>
      <c r="J911" s="1">
        <f t="shared" si="6"/>
        <v>-27</v>
      </c>
      <c r="K911" s="1" t="str">
        <f t="shared" si="7"/>
        <v>Under Forecast</v>
      </c>
      <c r="L911" s="1">
        <f>F911+J910</f>
        <v>-30</v>
      </c>
      <c r="M911" s="7">
        <f t="shared" si="10"/>
        <v>64.22967033</v>
      </c>
      <c r="N911" s="7">
        <f t="shared" si="8"/>
        <v>-0.4670738593</v>
      </c>
      <c r="O911" s="2" t="str">
        <f t="shared" si="9"/>
        <v>Acceptable</v>
      </c>
    </row>
    <row r="912" ht="15.75" customHeight="1">
      <c r="A912" s="1" t="s">
        <v>104</v>
      </c>
      <c r="B912" s="1" t="s">
        <v>105</v>
      </c>
      <c r="C912" s="1" t="s">
        <v>27</v>
      </c>
      <c r="D912" s="1">
        <v>125.0</v>
      </c>
      <c r="E912" s="1">
        <v>117.0</v>
      </c>
      <c r="F912" s="1">
        <f t="shared" si="2"/>
        <v>-8</v>
      </c>
      <c r="G912" s="1">
        <f t="shared" si="3"/>
        <v>8</v>
      </c>
      <c r="H912" s="6">
        <f t="shared" si="4"/>
        <v>0.064</v>
      </c>
      <c r="I912" s="6">
        <f t="shared" si="5"/>
        <v>0.936</v>
      </c>
      <c r="J912" s="1">
        <f t="shared" si="6"/>
        <v>-8</v>
      </c>
      <c r="K912" s="1" t="str">
        <f t="shared" si="7"/>
        <v>Under Forecast</v>
      </c>
      <c r="L912" s="1">
        <f>F912</f>
        <v>-8</v>
      </c>
      <c r="M912" s="7">
        <f t="shared" si="10"/>
        <v>64.16794731</v>
      </c>
      <c r="N912" s="7">
        <f t="shared" si="8"/>
        <v>-0.1246728364</v>
      </c>
      <c r="O912" s="2" t="str">
        <f t="shared" si="9"/>
        <v>Acceptable</v>
      </c>
    </row>
    <row r="913" ht="15.75" customHeight="1">
      <c r="A913" s="1" t="s">
        <v>104</v>
      </c>
      <c r="B913" s="1" t="s">
        <v>105</v>
      </c>
      <c r="C913" s="1" t="s">
        <v>28</v>
      </c>
      <c r="D913" s="1">
        <v>116.0</v>
      </c>
      <c r="E913" s="1">
        <v>96.0</v>
      </c>
      <c r="F913" s="1">
        <f t="shared" si="2"/>
        <v>-20</v>
      </c>
      <c r="G913" s="1">
        <f t="shared" si="3"/>
        <v>20</v>
      </c>
      <c r="H913" s="6">
        <f t="shared" si="4"/>
        <v>0.1724137931</v>
      </c>
      <c r="I913" s="6">
        <f t="shared" si="5"/>
        <v>0.8275862069</v>
      </c>
      <c r="J913" s="1">
        <f t="shared" si="6"/>
        <v>-20</v>
      </c>
      <c r="K913" s="1" t="str">
        <f t="shared" si="7"/>
        <v>Under Forecast</v>
      </c>
      <c r="L913" s="1">
        <f>F913+J912</f>
        <v>-28</v>
      </c>
      <c r="M913" s="7">
        <f t="shared" si="10"/>
        <v>64.11951754</v>
      </c>
      <c r="N913" s="7">
        <f t="shared" si="8"/>
        <v>-0.4366845084</v>
      </c>
      <c r="O913" s="2" t="str">
        <f t="shared" si="9"/>
        <v>Acceptable</v>
      </c>
    </row>
    <row r="914" ht="15.75" customHeight="1">
      <c r="A914" s="1" t="s">
        <v>106</v>
      </c>
      <c r="B914" s="1" t="s">
        <v>105</v>
      </c>
      <c r="C914" s="1" t="s">
        <v>17</v>
      </c>
      <c r="D914" s="1">
        <v>286.0</v>
      </c>
      <c r="E914" s="1">
        <v>339.0</v>
      </c>
      <c r="F914" s="1">
        <f t="shared" si="2"/>
        <v>53</v>
      </c>
      <c r="G914" s="1">
        <f t="shared" si="3"/>
        <v>53</v>
      </c>
      <c r="H914" s="6">
        <f t="shared" si="4"/>
        <v>0.1853146853</v>
      </c>
      <c r="I914" s="6">
        <f t="shared" si="5"/>
        <v>0.8146853147</v>
      </c>
      <c r="J914" s="1">
        <f t="shared" si="6"/>
        <v>53</v>
      </c>
      <c r="K914" s="1" t="str">
        <f t="shared" si="7"/>
        <v>Over Forecast</v>
      </c>
      <c r="L914" s="1">
        <f>F914</f>
        <v>53</v>
      </c>
      <c r="M914" s="7">
        <f t="shared" si="10"/>
        <v>64.10733844</v>
      </c>
      <c r="N914" s="7">
        <f t="shared" si="8"/>
        <v>0.8267384247</v>
      </c>
      <c r="O914" s="2" t="str">
        <f t="shared" si="9"/>
        <v>Acceptable</v>
      </c>
    </row>
    <row r="915" ht="15.75" customHeight="1">
      <c r="A915" s="1" t="s">
        <v>106</v>
      </c>
      <c r="B915" s="1" t="s">
        <v>105</v>
      </c>
      <c r="C915" s="1" t="s">
        <v>18</v>
      </c>
      <c r="D915" s="1">
        <v>281.0</v>
      </c>
      <c r="E915" s="1">
        <v>261.0</v>
      </c>
      <c r="F915" s="1">
        <f t="shared" si="2"/>
        <v>-20</v>
      </c>
      <c r="G915" s="1">
        <f t="shared" si="3"/>
        <v>20</v>
      </c>
      <c r="H915" s="6">
        <f t="shared" si="4"/>
        <v>0.07117437722</v>
      </c>
      <c r="I915" s="6">
        <f t="shared" si="5"/>
        <v>0.9288256228</v>
      </c>
      <c r="J915" s="1">
        <f t="shared" si="6"/>
        <v>-20</v>
      </c>
      <c r="K915" s="1" t="str">
        <f t="shared" si="7"/>
        <v>Under Forecast</v>
      </c>
      <c r="L915" s="1">
        <f>F915+J914</f>
        <v>33</v>
      </c>
      <c r="M915" s="7">
        <f t="shared" si="10"/>
        <v>64.05908096</v>
      </c>
      <c r="N915" s="7">
        <f t="shared" si="8"/>
        <v>0.5151494449</v>
      </c>
      <c r="O915" s="2" t="str">
        <f t="shared" si="9"/>
        <v>Acceptable</v>
      </c>
    </row>
    <row r="916" ht="15.75" customHeight="1">
      <c r="A916" s="1" t="s">
        <v>106</v>
      </c>
      <c r="B916" s="1" t="s">
        <v>105</v>
      </c>
      <c r="C916" s="1" t="s">
        <v>19</v>
      </c>
      <c r="D916" s="1">
        <v>298.0</v>
      </c>
      <c r="E916" s="1">
        <v>331.0</v>
      </c>
      <c r="F916" s="1">
        <f t="shared" si="2"/>
        <v>33</v>
      </c>
      <c r="G916" s="1">
        <f t="shared" si="3"/>
        <v>33</v>
      </c>
      <c r="H916" s="6">
        <f t="shared" si="4"/>
        <v>0.110738255</v>
      </c>
      <c r="I916" s="6">
        <f t="shared" si="5"/>
        <v>0.889261745</v>
      </c>
      <c r="J916" s="1">
        <f t="shared" si="6"/>
        <v>33</v>
      </c>
      <c r="K916" s="1" t="str">
        <f t="shared" si="7"/>
        <v>Over Forecast</v>
      </c>
      <c r="L916" s="1">
        <f>F916</f>
        <v>33</v>
      </c>
      <c r="M916" s="7">
        <f t="shared" si="10"/>
        <v>64.02513661</v>
      </c>
      <c r="N916" s="7">
        <f t="shared" si="8"/>
        <v>0.5154225629</v>
      </c>
      <c r="O916" s="2" t="str">
        <f t="shared" si="9"/>
        <v>Acceptable</v>
      </c>
    </row>
    <row r="917" ht="15.75" customHeight="1">
      <c r="A917" s="1" t="s">
        <v>106</v>
      </c>
      <c r="B917" s="1" t="s">
        <v>105</v>
      </c>
      <c r="C917" s="1" t="s">
        <v>20</v>
      </c>
      <c r="D917" s="1">
        <v>281.0</v>
      </c>
      <c r="E917" s="1">
        <v>259.0</v>
      </c>
      <c r="F917" s="1">
        <f t="shared" si="2"/>
        <v>-22</v>
      </c>
      <c r="G917" s="1">
        <f t="shared" si="3"/>
        <v>22</v>
      </c>
      <c r="H917" s="6">
        <f t="shared" si="4"/>
        <v>0.07829181495</v>
      </c>
      <c r="I917" s="6">
        <f t="shared" si="5"/>
        <v>0.9217081851</v>
      </c>
      <c r="J917" s="1">
        <f t="shared" si="6"/>
        <v>-22</v>
      </c>
      <c r="K917" s="1" t="str">
        <f t="shared" si="7"/>
        <v>Under Forecast</v>
      </c>
      <c r="L917" s="1">
        <f>F917+J916</f>
        <v>11</v>
      </c>
      <c r="M917" s="7">
        <f t="shared" si="10"/>
        <v>63.97925764</v>
      </c>
      <c r="N917" s="7">
        <f t="shared" si="8"/>
        <v>0.1719307226</v>
      </c>
      <c r="O917" s="2" t="str">
        <f t="shared" si="9"/>
        <v>Acceptable</v>
      </c>
    </row>
    <row r="918" ht="15.75" customHeight="1">
      <c r="A918" s="1" t="s">
        <v>106</v>
      </c>
      <c r="B918" s="1" t="s">
        <v>105</v>
      </c>
      <c r="C918" s="1" t="s">
        <v>21</v>
      </c>
      <c r="D918" s="1">
        <v>341.0</v>
      </c>
      <c r="E918" s="1">
        <v>310.0</v>
      </c>
      <c r="F918" s="1">
        <f t="shared" si="2"/>
        <v>-31</v>
      </c>
      <c r="G918" s="1">
        <f t="shared" si="3"/>
        <v>31</v>
      </c>
      <c r="H918" s="6">
        <f t="shared" si="4"/>
        <v>0.09090909091</v>
      </c>
      <c r="I918" s="6">
        <f t="shared" si="5"/>
        <v>0.9090909091</v>
      </c>
      <c r="J918" s="1">
        <f t="shared" si="6"/>
        <v>-31</v>
      </c>
      <c r="K918" s="1" t="str">
        <f t="shared" si="7"/>
        <v>Under Forecast</v>
      </c>
      <c r="L918" s="1">
        <f>F918</f>
        <v>-31</v>
      </c>
      <c r="M918" s="7">
        <f t="shared" si="10"/>
        <v>63.94329335</v>
      </c>
      <c r="N918" s="7">
        <f t="shared" si="8"/>
        <v>-0.4848045569</v>
      </c>
      <c r="O918" s="2" t="str">
        <f t="shared" si="9"/>
        <v>Acceptable</v>
      </c>
    </row>
    <row r="919" ht="15.75" customHeight="1">
      <c r="A919" s="1" t="s">
        <v>106</v>
      </c>
      <c r="B919" s="1" t="s">
        <v>105</v>
      </c>
      <c r="C919" s="1" t="s">
        <v>22</v>
      </c>
      <c r="D919" s="1">
        <v>336.0</v>
      </c>
      <c r="E919" s="1">
        <v>340.0</v>
      </c>
      <c r="F919" s="1">
        <f t="shared" si="2"/>
        <v>4</v>
      </c>
      <c r="G919" s="1">
        <f t="shared" si="3"/>
        <v>4</v>
      </c>
      <c r="H919" s="6">
        <f t="shared" si="4"/>
        <v>0.0119047619</v>
      </c>
      <c r="I919" s="6">
        <f t="shared" si="5"/>
        <v>0.9880952381</v>
      </c>
      <c r="J919" s="1">
        <f t="shared" si="6"/>
        <v>4</v>
      </c>
      <c r="K919" s="1" t="str">
        <f t="shared" si="7"/>
        <v>Over Forecast</v>
      </c>
      <c r="L919" s="1">
        <f>F919+J918</f>
        <v>-27</v>
      </c>
      <c r="M919" s="7">
        <f t="shared" si="10"/>
        <v>63.87799564</v>
      </c>
      <c r="N919" s="7">
        <f t="shared" si="8"/>
        <v>-0.422680764</v>
      </c>
      <c r="O919" s="2" t="str">
        <f t="shared" si="9"/>
        <v>Acceptable</v>
      </c>
    </row>
    <row r="920" ht="15.75" customHeight="1">
      <c r="A920" s="1" t="s">
        <v>106</v>
      </c>
      <c r="B920" s="1" t="s">
        <v>105</v>
      </c>
      <c r="C920" s="1" t="s">
        <v>23</v>
      </c>
      <c r="D920" s="1">
        <v>322.0</v>
      </c>
      <c r="E920" s="1">
        <v>290.0</v>
      </c>
      <c r="F920" s="1">
        <f t="shared" si="2"/>
        <v>-32</v>
      </c>
      <c r="G920" s="1">
        <f t="shared" si="3"/>
        <v>32</v>
      </c>
      <c r="H920" s="6">
        <f t="shared" si="4"/>
        <v>0.09937888199</v>
      </c>
      <c r="I920" s="6">
        <f t="shared" si="5"/>
        <v>0.900621118</v>
      </c>
      <c r="J920" s="1">
        <f t="shared" si="6"/>
        <v>-32</v>
      </c>
      <c r="K920" s="1" t="str">
        <f t="shared" si="7"/>
        <v>Under Forecast</v>
      </c>
      <c r="L920" s="1">
        <f>F920</f>
        <v>-32</v>
      </c>
      <c r="M920" s="7">
        <f t="shared" si="10"/>
        <v>63.84330794</v>
      </c>
      <c r="N920" s="7">
        <f t="shared" si="8"/>
        <v>-0.5012271612</v>
      </c>
      <c r="O920" s="2" t="str">
        <f t="shared" si="9"/>
        <v>Acceptable</v>
      </c>
    </row>
    <row r="921" ht="15.75" customHeight="1">
      <c r="A921" s="1" t="s">
        <v>106</v>
      </c>
      <c r="B921" s="1" t="s">
        <v>105</v>
      </c>
      <c r="C921" s="1" t="s">
        <v>24</v>
      </c>
      <c r="D921" s="1">
        <v>327.0</v>
      </c>
      <c r="E921" s="1">
        <v>239.0</v>
      </c>
      <c r="F921" s="1">
        <f t="shared" si="2"/>
        <v>-88</v>
      </c>
      <c r="G921" s="1">
        <f t="shared" si="3"/>
        <v>88</v>
      </c>
      <c r="H921" s="6">
        <f t="shared" si="4"/>
        <v>0.2691131498</v>
      </c>
      <c r="I921" s="6">
        <f t="shared" si="5"/>
        <v>0.7308868502</v>
      </c>
      <c r="J921" s="1">
        <f t="shared" si="6"/>
        <v>-88</v>
      </c>
      <c r="K921" s="1" t="str">
        <f t="shared" si="7"/>
        <v>Under Forecast</v>
      </c>
      <c r="L921" s="1">
        <f>F921+J920</f>
        <v>-120</v>
      </c>
      <c r="M921" s="7">
        <f t="shared" si="10"/>
        <v>63.86956522</v>
      </c>
      <c r="N921" s="7">
        <f t="shared" si="8"/>
        <v>-1.878829135</v>
      </c>
      <c r="O921" s="2" t="str">
        <f t="shared" si="9"/>
        <v>Acceptable</v>
      </c>
    </row>
    <row r="922" ht="15.75" customHeight="1">
      <c r="A922" s="1" t="s">
        <v>106</v>
      </c>
      <c r="B922" s="1" t="s">
        <v>105</v>
      </c>
      <c r="C922" s="1" t="s">
        <v>25</v>
      </c>
      <c r="D922" s="1">
        <v>295.0</v>
      </c>
      <c r="E922" s="1">
        <v>335.0</v>
      </c>
      <c r="F922" s="1">
        <f t="shared" si="2"/>
        <v>40</v>
      </c>
      <c r="G922" s="1">
        <f t="shared" si="3"/>
        <v>40</v>
      </c>
      <c r="H922" s="6">
        <f t="shared" si="4"/>
        <v>0.1355932203</v>
      </c>
      <c r="I922" s="6">
        <f t="shared" si="5"/>
        <v>0.8644067797</v>
      </c>
      <c r="J922" s="1">
        <f t="shared" si="6"/>
        <v>40</v>
      </c>
      <c r="K922" s="1" t="str">
        <f t="shared" si="7"/>
        <v>Over Forecast</v>
      </c>
      <c r="L922" s="1">
        <f>F922</f>
        <v>40</v>
      </c>
      <c r="M922" s="7">
        <f t="shared" si="10"/>
        <v>63.84364821</v>
      </c>
      <c r="N922" s="7">
        <f t="shared" si="8"/>
        <v>0.6265306122</v>
      </c>
      <c r="O922" s="2" t="str">
        <f t="shared" si="9"/>
        <v>Acceptable</v>
      </c>
    </row>
    <row r="923" ht="15.75" customHeight="1">
      <c r="A923" s="1" t="s">
        <v>106</v>
      </c>
      <c r="B923" s="1" t="s">
        <v>105</v>
      </c>
      <c r="C923" s="1" t="s">
        <v>26</v>
      </c>
      <c r="D923" s="1">
        <v>311.0</v>
      </c>
      <c r="E923" s="1">
        <v>304.0</v>
      </c>
      <c r="F923" s="1">
        <f t="shared" si="2"/>
        <v>-7</v>
      </c>
      <c r="G923" s="1">
        <f t="shared" si="3"/>
        <v>7</v>
      </c>
      <c r="H923" s="6">
        <f t="shared" si="4"/>
        <v>0.02250803859</v>
      </c>
      <c r="I923" s="6">
        <f t="shared" si="5"/>
        <v>0.9774919614</v>
      </c>
      <c r="J923" s="1">
        <f t="shared" si="6"/>
        <v>-7</v>
      </c>
      <c r="K923" s="1" t="str">
        <f t="shared" si="7"/>
        <v>Under Forecast</v>
      </c>
      <c r="L923" s="1">
        <f>F923+J922</f>
        <v>33</v>
      </c>
      <c r="M923" s="7">
        <f t="shared" si="10"/>
        <v>63.78199566</v>
      </c>
      <c r="N923" s="7">
        <f t="shared" si="8"/>
        <v>0.5173873859</v>
      </c>
      <c r="O923" s="2" t="str">
        <f t="shared" si="9"/>
        <v>Acceptable</v>
      </c>
    </row>
    <row r="924" ht="15.75" customHeight="1">
      <c r="A924" s="1" t="s">
        <v>106</v>
      </c>
      <c r="B924" s="1" t="s">
        <v>105</v>
      </c>
      <c r="C924" s="1" t="s">
        <v>27</v>
      </c>
      <c r="D924" s="1">
        <v>312.0</v>
      </c>
      <c r="E924" s="1">
        <v>371.0</v>
      </c>
      <c r="F924" s="1">
        <f t="shared" si="2"/>
        <v>59</v>
      </c>
      <c r="G924" s="1">
        <f t="shared" si="3"/>
        <v>59</v>
      </c>
      <c r="H924" s="6">
        <f t="shared" si="4"/>
        <v>0.1891025641</v>
      </c>
      <c r="I924" s="6">
        <f t="shared" si="5"/>
        <v>0.8108974359</v>
      </c>
      <c r="J924" s="1">
        <f t="shared" si="6"/>
        <v>59</v>
      </c>
      <c r="K924" s="1" t="str">
        <f t="shared" si="7"/>
        <v>Over Forecast</v>
      </c>
      <c r="L924" s="1">
        <f>F924</f>
        <v>59</v>
      </c>
      <c r="M924" s="7">
        <f t="shared" si="10"/>
        <v>63.77681473</v>
      </c>
      <c r="N924" s="7">
        <f t="shared" si="8"/>
        <v>0.925101077</v>
      </c>
      <c r="O924" s="2" t="str">
        <f t="shared" si="9"/>
        <v>Acceptable</v>
      </c>
    </row>
    <row r="925" ht="15.75" customHeight="1">
      <c r="A925" s="1" t="s">
        <v>106</v>
      </c>
      <c r="B925" s="1" t="s">
        <v>105</v>
      </c>
      <c r="C925" s="1" t="s">
        <v>28</v>
      </c>
      <c r="D925" s="1">
        <v>306.0</v>
      </c>
      <c r="E925" s="1">
        <v>286.0</v>
      </c>
      <c r="F925" s="1">
        <f t="shared" si="2"/>
        <v>-20</v>
      </c>
      <c r="G925" s="1">
        <f t="shared" si="3"/>
        <v>20</v>
      </c>
      <c r="H925" s="6">
        <f t="shared" si="4"/>
        <v>0.06535947712</v>
      </c>
      <c r="I925" s="6">
        <f t="shared" si="5"/>
        <v>0.9346405229</v>
      </c>
      <c r="J925" s="1">
        <f t="shared" si="6"/>
        <v>-20</v>
      </c>
      <c r="K925" s="1" t="str">
        <f t="shared" si="7"/>
        <v>Under Forecast</v>
      </c>
      <c r="L925" s="1">
        <f>F925+J924</f>
        <v>39</v>
      </c>
      <c r="M925" s="7">
        <f t="shared" si="10"/>
        <v>63.72943723</v>
      </c>
      <c r="N925" s="7">
        <f t="shared" si="8"/>
        <v>0.6119620963</v>
      </c>
      <c r="O925" s="2" t="str">
        <f t="shared" si="9"/>
        <v>Acceptable</v>
      </c>
    </row>
    <row r="926" ht="15.75" customHeight="1">
      <c r="A926" s="1" t="s">
        <v>107</v>
      </c>
      <c r="B926" s="1" t="s">
        <v>105</v>
      </c>
      <c r="C926" s="1" t="s">
        <v>17</v>
      </c>
      <c r="D926" s="1">
        <v>276.0</v>
      </c>
      <c r="E926" s="1">
        <v>281.0</v>
      </c>
      <c r="F926" s="1">
        <f t="shared" si="2"/>
        <v>5</v>
      </c>
      <c r="G926" s="1">
        <f t="shared" si="3"/>
        <v>5</v>
      </c>
      <c r="H926" s="6">
        <f t="shared" si="4"/>
        <v>0.01811594203</v>
      </c>
      <c r="I926" s="6">
        <f t="shared" si="5"/>
        <v>0.981884058</v>
      </c>
      <c r="J926" s="1">
        <f t="shared" si="6"/>
        <v>5</v>
      </c>
      <c r="K926" s="1" t="str">
        <f t="shared" si="7"/>
        <v>Over Forecast</v>
      </c>
      <c r="L926" s="1">
        <f>F926</f>
        <v>5</v>
      </c>
      <c r="M926" s="7">
        <f t="shared" si="10"/>
        <v>63.66594595</v>
      </c>
      <c r="N926" s="7">
        <f t="shared" si="8"/>
        <v>0.07853492045</v>
      </c>
      <c r="O926" s="2" t="str">
        <f t="shared" si="9"/>
        <v>Acceptable</v>
      </c>
    </row>
    <row r="927" ht="15.75" customHeight="1">
      <c r="A927" s="1" t="s">
        <v>107</v>
      </c>
      <c r="B927" s="1" t="s">
        <v>105</v>
      </c>
      <c r="C927" s="1" t="s">
        <v>18</v>
      </c>
      <c r="D927" s="1">
        <v>285.0</v>
      </c>
      <c r="E927" s="1">
        <v>355.0</v>
      </c>
      <c r="F927" s="1">
        <f t="shared" si="2"/>
        <v>70</v>
      </c>
      <c r="G927" s="1">
        <f t="shared" si="3"/>
        <v>70</v>
      </c>
      <c r="H927" s="6">
        <f t="shared" si="4"/>
        <v>0.2456140351</v>
      </c>
      <c r="I927" s="6">
        <f t="shared" si="5"/>
        <v>0.7543859649</v>
      </c>
      <c r="J927" s="1">
        <f t="shared" si="6"/>
        <v>70</v>
      </c>
      <c r="K927" s="1" t="str">
        <f t="shared" si="7"/>
        <v>Over Forecast</v>
      </c>
      <c r="L927" s="1">
        <f>F927+J926</f>
        <v>75</v>
      </c>
      <c r="M927" s="7">
        <f t="shared" si="10"/>
        <v>63.67278618</v>
      </c>
      <c r="N927" s="7">
        <f t="shared" si="8"/>
        <v>1.177897254</v>
      </c>
      <c r="O927" s="2" t="str">
        <f t="shared" si="9"/>
        <v>Acceptable</v>
      </c>
    </row>
    <row r="928" ht="15.75" customHeight="1">
      <c r="A928" s="1" t="s">
        <v>107</v>
      </c>
      <c r="B928" s="1" t="s">
        <v>105</v>
      </c>
      <c r="C928" s="1" t="s">
        <v>19</v>
      </c>
      <c r="D928" s="1">
        <v>314.0</v>
      </c>
      <c r="E928" s="1">
        <v>344.0</v>
      </c>
      <c r="F928" s="1">
        <f t="shared" si="2"/>
        <v>30</v>
      </c>
      <c r="G928" s="1">
        <f t="shared" si="3"/>
        <v>30</v>
      </c>
      <c r="H928" s="6">
        <f t="shared" si="4"/>
        <v>0.09554140127</v>
      </c>
      <c r="I928" s="6">
        <f t="shared" si="5"/>
        <v>0.9044585987</v>
      </c>
      <c r="J928" s="1">
        <f t="shared" si="6"/>
        <v>30</v>
      </c>
      <c r="K928" s="1" t="str">
        <f t="shared" si="7"/>
        <v>Over Forecast</v>
      </c>
      <c r="L928" s="1">
        <f>F928</f>
        <v>30</v>
      </c>
      <c r="M928" s="7">
        <f t="shared" si="10"/>
        <v>63.6364617</v>
      </c>
      <c r="N928" s="7">
        <f t="shared" si="8"/>
        <v>0.4714278449</v>
      </c>
      <c r="O928" s="2" t="str">
        <f t="shared" si="9"/>
        <v>Acceptable</v>
      </c>
    </row>
    <row r="929" ht="15.75" customHeight="1">
      <c r="A929" s="1" t="s">
        <v>107</v>
      </c>
      <c r="B929" s="1" t="s">
        <v>105</v>
      </c>
      <c r="C929" s="1" t="s">
        <v>20</v>
      </c>
      <c r="D929" s="1">
        <v>284.0</v>
      </c>
      <c r="E929" s="1">
        <v>349.0</v>
      </c>
      <c r="F929" s="1">
        <f t="shared" si="2"/>
        <v>65</v>
      </c>
      <c r="G929" s="1">
        <f t="shared" si="3"/>
        <v>65</v>
      </c>
      <c r="H929" s="6">
        <f t="shared" si="4"/>
        <v>0.2288732394</v>
      </c>
      <c r="I929" s="6">
        <f t="shared" si="5"/>
        <v>0.7711267606</v>
      </c>
      <c r="J929" s="1">
        <f t="shared" si="6"/>
        <v>65</v>
      </c>
      <c r="K929" s="1" t="str">
        <f t="shared" si="7"/>
        <v>Over Forecast</v>
      </c>
      <c r="L929" s="1">
        <f>F929+J928</f>
        <v>95</v>
      </c>
      <c r="M929" s="7">
        <f t="shared" si="10"/>
        <v>63.63793103</v>
      </c>
      <c r="N929" s="7">
        <f t="shared" si="8"/>
        <v>1.492820374</v>
      </c>
      <c r="O929" s="2" t="str">
        <f t="shared" si="9"/>
        <v>Acceptable</v>
      </c>
    </row>
    <row r="930" ht="15.75" customHeight="1">
      <c r="A930" s="1" t="s">
        <v>107</v>
      </c>
      <c r="B930" s="1" t="s">
        <v>105</v>
      </c>
      <c r="C930" s="1" t="s">
        <v>21</v>
      </c>
      <c r="D930" s="1">
        <v>349.0</v>
      </c>
      <c r="E930" s="1">
        <v>408.0</v>
      </c>
      <c r="F930" s="1">
        <f t="shared" si="2"/>
        <v>59</v>
      </c>
      <c r="G930" s="1">
        <f t="shared" si="3"/>
        <v>59</v>
      </c>
      <c r="H930" s="6">
        <f t="shared" si="4"/>
        <v>0.1690544413</v>
      </c>
      <c r="I930" s="6">
        <f t="shared" si="5"/>
        <v>0.8309455587</v>
      </c>
      <c r="J930" s="1">
        <f t="shared" si="6"/>
        <v>59</v>
      </c>
      <c r="K930" s="1" t="str">
        <f t="shared" si="7"/>
        <v>Over Forecast</v>
      </c>
      <c r="L930" s="1">
        <f>F930</f>
        <v>59</v>
      </c>
      <c r="M930" s="7">
        <f t="shared" si="10"/>
        <v>63.63293864</v>
      </c>
      <c r="N930" s="7">
        <f t="shared" si="8"/>
        <v>0.9271927599</v>
      </c>
      <c r="O930" s="2" t="str">
        <f t="shared" si="9"/>
        <v>Acceptable</v>
      </c>
    </row>
    <row r="931" ht="15.75" customHeight="1">
      <c r="A931" s="1" t="s">
        <v>107</v>
      </c>
      <c r="B931" s="1" t="s">
        <v>105</v>
      </c>
      <c r="C931" s="1" t="s">
        <v>22</v>
      </c>
      <c r="D931" s="1">
        <v>298.0</v>
      </c>
      <c r="E931" s="1">
        <v>240.0</v>
      </c>
      <c r="F931" s="1">
        <f t="shared" si="2"/>
        <v>-58</v>
      </c>
      <c r="G931" s="1">
        <f t="shared" si="3"/>
        <v>58</v>
      </c>
      <c r="H931" s="6">
        <f t="shared" si="4"/>
        <v>0.1946308725</v>
      </c>
      <c r="I931" s="6">
        <f t="shared" si="5"/>
        <v>0.8053691275</v>
      </c>
      <c r="J931" s="1">
        <f t="shared" si="6"/>
        <v>-58</v>
      </c>
      <c r="K931" s="1" t="str">
        <f t="shared" si="7"/>
        <v>Under Forecast</v>
      </c>
      <c r="L931" s="1">
        <f>F931+J930</f>
        <v>1</v>
      </c>
      <c r="M931" s="7">
        <f t="shared" si="10"/>
        <v>63.62688172</v>
      </c>
      <c r="N931" s="7">
        <f t="shared" si="8"/>
        <v>0.01571662752</v>
      </c>
      <c r="O931" s="2" t="str">
        <f t="shared" si="9"/>
        <v>Acceptable</v>
      </c>
    </row>
    <row r="932" ht="15.75" customHeight="1">
      <c r="A932" s="1" t="s">
        <v>107</v>
      </c>
      <c r="B932" s="1" t="s">
        <v>105</v>
      </c>
      <c r="C932" s="1" t="s">
        <v>23</v>
      </c>
      <c r="D932" s="1">
        <v>320.0</v>
      </c>
      <c r="E932" s="1">
        <v>270.0</v>
      </c>
      <c r="F932" s="1">
        <f t="shared" si="2"/>
        <v>-50</v>
      </c>
      <c r="G932" s="1">
        <f t="shared" si="3"/>
        <v>50</v>
      </c>
      <c r="H932" s="6">
        <f t="shared" si="4"/>
        <v>0.15625</v>
      </c>
      <c r="I932" s="6">
        <f t="shared" si="5"/>
        <v>0.84375</v>
      </c>
      <c r="J932" s="1">
        <f t="shared" si="6"/>
        <v>-50</v>
      </c>
      <c r="K932" s="1" t="str">
        <f t="shared" si="7"/>
        <v>Under Forecast</v>
      </c>
      <c r="L932" s="1">
        <f>F932</f>
        <v>-50</v>
      </c>
      <c r="M932" s="7">
        <f t="shared" si="10"/>
        <v>63.6122449</v>
      </c>
      <c r="N932" s="7">
        <f t="shared" si="8"/>
        <v>-0.7860121912</v>
      </c>
      <c r="O932" s="2" t="str">
        <f t="shared" si="9"/>
        <v>Acceptable</v>
      </c>
    </row>
    <row r="933" ht="15.75" customHeight="1">
      <c r="A933" s="1" t="s">
        <v>107</v>
      </c>
      <c r="B933" s="1" t="s">
        <v>105</v>
      </c>
      <c r="C933" s="1" t="s">
        <v>24</v>
      </c>
      <c r="D933" s="1">
        <v>321.0</v>
      </c>
      <c r="E933" s="1">
        <v>398.0</v>
      </c>
      <c r="F933" s="1">
        <f t="shared" si="2"/>
        <v>77</v>
      </c>
      <c r="G933" s="1">
        <f t="shared" si="3"/>
        <v>77</v>
      </c>
      <c r="H933" s="6">
        <f t="shared" si="4"/>
        <v>0.2398753894</v>
      </c>
      <c r="I933" s="6">
        <f t="shared" si="5"/>
        <v>0.7601246106</v>
      </c>
      <c r="J933" s="1">
        <f t="shared" si="6"/>
        <v>77</v>
      </c>
      <c r="K933" s="1" t="str">
        <f t="shared" si="7"/>
        <v>Over Forecast</v>
      </c>
      <c r="L933" s="1">
        <f>F933+J932</f>
        <v>27</v>
      </c>
      <c r="M933" s="7">
        <f t="shared" si="10"/>
        <v>63.62660944</v>
      </c>
      <c r="N933" s="7">
        <f t="shared" si="8"/>
        <v>0.4243507589</v>
      </c>
      <c r="O933" s="2" t="str">
        <f t="shared" si="9"/>
        <v>Acceptable</v>
      </c>
    </row>
    <row r="934" ht="15.75" customHeight="1">
      <c r="A934" s="1" t="s">
        <v>107</v>
      </c>
      <c r="B934" s="1" t="s">
        <v>105</v>
      </c>
      <c r="C934" s="1" t="s">
        <v>25</v>
      </c>
      <c r="D934" s="1">
        <v>309.0</v>
      </c>
      <c r="E934" s="1">
        <v>243.0</v>
      </c>
      <c r="F934" s="1">
        <f t="shared" si="2"/>
        <v>-66</v>
      </c>
      <c r="G934" s="1">
        <f t="shared" si="3"/>
        <v>66</v>
      </c>
      <c r="H934" s="6">
        <f t="shared" si="4"/>
        <v>0.213592233</v>
      </c>
      <c r="I934" s="6">
        <f t="shared" si="5"/>
        <v>0.786407767</v>
      </c>
      <c r="J934" s="1">
        <f t="shared" si="6"/>
        <v>-66</v>
      </c>
      <c r="K934" s="1" t="str">
        <f t="shared" si="7"/>
        <v>Under Forecast</v>
      </c>
      <c r="L934" s="1">
        <f>F934</f>
        <v>-66</v>
      </c>
      <c r="M934" s="7">
        <f t="shared" si="10"/>
        <v>63.62915327</v>
      </c>
      <c r="N934" s="7">
        <f t="shared" si="8"/>
        <v>-1.037260385</v>
      </c>
      <c r="O934" s="2" t="str">
        <f t="shared" si="9"/>
        <v>Acceptable</v>
      </c>
    </row>
    <row r="935" ht="15.75" customHeight="1">
      <c r="A935" s="1" t="s">
        <v>107</v>
      </c>
      <c r="B935" s="1" t="s">
        <v>105</v>
      </c>
      <c r="C935" s="1" t="s">
        <v>26</v>
      </c>
      <c r="D935" s="1">
        <v>293.0</v>
      </c>
      <c r="E935" s="1">
        <v>235.0</v>
      </c>
      <c r="F935" s="1">
        <f t="shared" si="2"/>
        <v>-58</v>
      </c>
      <c r="G935" s="1">
        <f t="shared" si="3"/>
        <v>58</v>
      </c>
      <c r="H935" s="6">
        <f t="shared" si="4"/>
        <v>0.1979522184</v>
      </c>
      <c r="I935" s="6">
        <f t="shared" si="5"/>
        <v>0.8020477816</v>
      </c>
      <c r="J935" s="1">
        <f t="shared" si="6"/>
        <v>-58</v>
      </c>
      <c r="K935" s="1" t="str">
        <f t="shared" si="7"/>
        <v>Under Forecast</v>
      </c>
      <c r="L935" s="1">
        <f>F935+J934</f>
        <v>-124</v>
      </c>
      <c r="M935" s="7">
        <f t="shared" si="10"/>
        <v>63.62312634</v>
      </c>
      <c r="N935" s="7">
        <f t="shared" si="8"/>
        <v>-1.948976844</v>
      </c>
      <c r="O935" s="2" t="str">
        <f t="shared" si="9"/>
        <v>Acceptable</v>
      </c>
    </row>
    <row r="936" ht="15.75" customHeight="1">
      <c r="A936" s="1" t="s">
        <v>107</v>
      </c>
      <c r="B936" s="1" t="s">
        <v>105</v>
      </c>
      <c r="C936" s="1" t="s">
        <v>27</v>
      </c>
      <c r="D936" s="1">
        <v>274.0</v>
      </c>
      <c r="E936" s="1">
        <v>251.0</v>
      </c>
      <c r="F936" s="1">
        <f t="shared" si="2"/>
        <v>-23</v>
      </c>
      <c r="G936" s="1">
        <f t="shared" si="3"/>
        <v>23</v>
      </c>
      <c r="H936" s="6">
        <f t="shared" si="4"/>
        <v>0.08394160584</v>
      </c>
      <c r="I936" s="6">
        <f t="shared" si="5"/>
        <v>0.9160583942</v>
      </c>
      <c r="J936" s="1">
        <f t="shared" si="6"/>
        <v>-23</v>
      </c>
      <c r="K936" s="1" t="str">
        <f t="shared" si="7"/>
        <v>Under Forecast</v>
      </c>
      <c r="L936" s="1">
        <f>F936</f>
        <v>-23</v>
      </c>
      <c r="M936" s="7">
        <f t="shared" si="10"/>
        <v>63.57967914</v>
      </c>
      <c r="N936" s="7">
        <f t="shared" si="8"/>
        <v>-0.3617508032</v>
      </c>
      <c r="O936" s="2" t="str">
        <f t="shared" si="9"/>
        <v>Acceptable</v>
      </c>
    </row>
    <row r="937" ht="15.75" customHeight="1">
      <c r="A937" s="1" t="s">
        <v>107</v>
      </c>
      <c r="B937" s="1" t="s">
        <v>105</v>
      </c>
      <c r="C937" s="1" t="s">
        <v>28</v>
      </c>
      <c r="D937" s="1">
        <v>281.0</v>
      </c>
      <c r="E937" s="1">
        <v>329.0</v>
      </c>
      <c r="F937" s="1">
        <f t="shared" si="2"/>
        <v>48</v>
      </c>
      <c r="G937" s="1">
        <f t="shared" si="3"/>
        <v>48</v>
      </c>
      <c r="H937" s="6">
        <f t="shared" si="4"/>
        <v>0.1708185053</v>
      </c>
      <c r="I937" s="6">
        <f t="shared" si="5"/>
        <v>0.8291814947</v>
      </c>
      <c r="J937" s="1">
        <f t="shared" si="6"/>
        <v>48</v>
      </c>
      <c r="K937" s="1" t="str">
        <f t="shared" si="7"/>
        <v>Over Forecast</v>
      </c>
      <c r="L937" s="1">
        <f>F937+J936</f>
        <v>25</v>
      </c>
      <c r="M937" s="7">
        <f t="shared" si="10"/>
        <v>63.56303419</v>
      </c>
      <c r="N937" s="7">
        <f t="shared" si="8"/>
        <v>0.3933103622</v>
      </c>
      <c r="O937" s="2" t="str">
        <f t="shared" si="9"/>
        <v>Acceptable</v>
      </c>
    </row>
    <row r="938" ht="15.75" customHeight="1">
      <c r="A938" s="1" t="s">
        <v>108</v>
      </c>
      <c r="B938" s="1" t="s">
        <v>105</v>
      </c>
      <c r="C938" s="1" t="s">
        <v>17</v>
      </c>
      <c r="D938" s="1">
        <v>187.0</v>
      </c>
      <c r="E938" s="1">
        <v>187.0</v>
      </c>
      <c r="F938" s="1">
        <f t="shared" si="2"/>
        <v>0</v>
      </c>
      <c r="G938" s="1">
        <f t="shared" si="3"/>
        <v>0</v>
      </c>
      <c r="H938" s="6">
        <f t="shared" si="4"/>
        <v>0</v>
      </c>
      <c r="I938" s="6">
        <f t="shared" si="5"/>
        <v>1</v>
      </c>
      <c r="J938" s="1">
        <f t="shared" si="6"/>
        <v>0</v>
      </c>
      <c r="K938" s="1" t="str">
        <f t="shared" si="7"/>
        <v>Accurate Forecast</v>
      </c>
      <c r="L938" s="1">
        <f>F938</f>
        <v>0</v>
      </c>
      <c r="M938" s="7">
        <f t="shared" si="10"/>
        <v>63.49519744</v>
      </c>
      <c r="N938" s="7">
        <f t="shared" si="8"/>
        <v>0</v>
      </c>
      <c r="O938" s="2" t="str">
        <f t="shared" si="9"/>
        <v>Acceptable</v>
      </c>
    </row>
    <row r="939" ht="15.75" customHeight="1">
      <c r="A939" s="1" t="s">
        <v>108</v>
      </c>
      <c r="B939" s="1" t="s">
        <v>105</v>
      </c>
      <c r="C939" s="1" t="s">
        <v>18</v>
      </c>
      <c r="D939" s="1">
        <v>193.0</v>
      </c>
      <c r="E939" s="1">
        <v>156.0</v>
      </c>
      <c r="F939" s="1">
        <f t="shared" si="2"/>
        <v>-37</v>
      </c>
      <c r="G939" s="1">
        <f t="shared" si="3"/>
        <v>37</v>
      </c>
      <c r="H939" s="6">
        <f t="shared" si="4"/>
        <v>0.1917098446</v>
      </c>
      <c r="I939" s="6">
        <f t="shared" si="5"/>
        <v>0.8082901554</v>
      </c>
      <c r="J939" s="1">
        <f t="shared" si="6"/>
        <v>-37</v>
      </c>
      <c r="K939" s="1" t="str">
        <f t="shared" si="7"/>
        <v>Under Forecast</v>
      </c>
      <c r="L939" s="1">
        <f>F939+J938</f>
        <v>-37</v>
      </c>
      <c r="M939" s="7">
        <f t="shared" si="10"/>
        <v>63.46695096</v>
      </c>
      <c r="N939" s="7">
        <f t="shared" si="8"/>
        <v>-0.5829805819</v>
      </c>
      <c r="O939" s="2" t="str">
        <f t="shared" si="9"/>
        <v>Acceptable</v>
      </c>
    </row>
    <row r="940" ht="15.75" customHeight="1">
      <c r="A940" s="1" t="s">
        <v>108</v>
      </c>
      <c r="B940" s="1" t="s">
        <v>105</v>
      </c>
      <c r="C940" s="1" t="s">
        <v>19</v>
      </c>
      <c r="D940" s="1">
        <v>190.0</v>
      </c>
      <c r="E940" s="1">
        <v>151.0</v>
      </c>
      <c r="F940" s="1">
        <f t="shared" si="2"/>
        <v>-39</v>
      </c>
      <c r="G940" s="1">
        <f t="shared" si="3"/>
        <v>39</v>
      </c>
      <c r="H940" s="6">
        <f t="shared" si="4"/>
        <v>0.2052631579</v>
      </c>
      <c r="I940" s="6">
        <f t="shared" si="5"/>
        <v>0.7947368421</v>
      </c>
      <c r="J940" s="1">
        <f t="shared" si="6"/>
        <v>-39</v>
      </c>
      <c r="K940" s="1" t="str">
        <f t="shared" si="7"/>
        <v>Under Forecast</v>
      </c>
      <c r="L940" s="1">
        <f>F940</f>
        <v>-39</v>
      </c>
      <c r="M940" s="7">
        <f t="shared" si="10"/>
        <v>63.44089457</v>
      </c>
      <c r="N940" s="7">
        <f t="shared" si="8"/>
        <v>-0.6147454298</v>
      </c>
      <c r="O940" s="2" t="str">
        <f t="shared" si="9"/>
        <v>Acceptable</v>
      </c>
    </row>
    <row r="941" ht="15.75" customHeight="1">
      <c r="A941" s="1" t="s">
        <v>108</v>
      </c>
      <c r="B941" s="1" t="s">
        <v>105</v>
      </c>
      <c r="C941" s="1" t="s">
        <v>20</v>
      </c>
      <c r="D941" s="1">
        <v>179.0</v>
      </c>
      <c r="E941" s="1">
        <v>220.0</v>
      </c>
      <c r="F941" s="1">
        <f t="shared" si="2"/>
        <v>41</v>
      </c>
      <c r="G941" s="1">
        <f t="shared" si="3"/>
        <v>41</v>
      </c>
      <c r="H941" s="6">
        <f t="shared" si="4"/>
        <v>0.2290502793</v>
      </c>
      <c r="I941" s="6">
        <f t="shared" si="5"/>
        <v>0.7709497207</v>
      </c>
      <c r="J941" s="1">
        <f t="shared" si="6"/>
        <v>41</v>
      </c>
      <c r="K941" s="1" t="str">
        <f t="shared" si="7"/>
        <v>Over Forecast</v>
      </c>
      <c r="L941" s="1">
        <f>F941+J940</f>
        <v>2</v>
      </c>
      <c r="M941" s="7">
        <f t="shared" si="10"/>
        <v>63.41702128</v>
      </c>
      <c r="N941" s="7">
        <f t="shared" si="8"/>
        <v>0.03153727437</v>
      </c>
      <c r="O941" s="2" t="str">
        <f t="shared" si="9"/>
        <v>Acceptable</v>
      </c>
    </row>
    <row r="942" ht="15.75" customHeight="1">
      <c r="A942" s="1" t="s">
        <v>108</v>
      </c>
      <c r="B942" s="1" t="s">
        <v>105</v>
      </c>
      <c r="C942" s="1" t="s">
        <v>21</v>
      </c>
      <c r="D942" s="1">
        <v>188.0</v>
      </c>
      <c r="E942" s="1">
        <v>196.0</v>
      </c>
      <c r="F942" s="1">
        <f t="shared" si="2"/>
        <v>8</v>
      </c>
      <c r="G942" s="1">
        <f t="shared" si="3"/>
        <v>8</v>
      </c>
      <c r="H942" s="6">
        <f t="shared" si="4"/>
        <v>0.04255319149</v>
      </c>
      <c r="I942" s="6">
        <f t="shared" si="5"/>
        <v>0.9574468085</v>
      </c>
      <c r="J942" s="1">
        <f t="shared" si="6"/>
        <v>8</v>
      </c>
      <c r="K942" s="1" t="str">
        <f t="shared" si="7"/>
        <v>Over Forecast</v>
      </c>
      <c r="L942" s="1">
        <f>F942</f>
        <v>8</v>
      </c>
      <c r="M942" s="7">
        <f t="shared" si="10"/>
        <v>63.35812965</v>
      </c>
      <c r="N942" s="7">
        <f t="shared" si="8"/>
        <v>0.1262663536</v>
      </c>
      <c r="O942" s="2" t="str">
        <f t="shared" si="9"/>
        <v>Acceptable</v>
      </c>
    </row>
    <row r="943" ht="15.75" customHeight="1">
      <c r="A943" s="1" t="s">
        <v>108</v>
      </c>
      <c r="B943" s="1" t="s">
        <v>105</v>
      </c>
      <c r="C943" s="1" t="s">
        <v>22</v>
      </c>
      <c r="D943" s="1">
        <v>203.0</v>
      </c>
      <c r="E943" s="1">
        <v>193.0</v>
      </c>
      <c r="F943" s="1">
        <f t="shared" si="2"/>
        <v>-10</v>
      </c>
      <c r="G943" s="1">
        <f t="shared" si="3"/>
        <v>10</v>
      </c>
      <c r="H943" s="6">
        <f t="shared" si="4"/>
        <v>0.04926108374</v>
      </c>
      <c r="I943" s="6">
        <f t="shared" si="5"/>
        <v>0.9507389163</v>
      </c>
      <c r="J943" s="1">
        <f t="shared" si="6"/>
        <v>-10</v>
      </c>
      <c r="K943" s="1" t="str">
        <f t="shared" si="7"/>
        <v>Under Forecast</v>
      </c>
      <c r="L943" s="1">
        <f>F943+J942</f>
        <v>-2</v>
      </c>
      <c r="M943" s="7">
        <f t="shared" si="10"/>
        <v>63.3014862</v>
      </c>
      <c r="N943" s="7">
        <f t="shared" si="8"/>
        <v>-0.03159483481</v>
      </c>
      <c r="O943" s="2" t="str">
        <f t="shared" si="9"/>
        <v>Acceptable</v>
      </c>
    </row>
    <row r="944" ht="15.75" customHeight="1">
      <c r="A944" s="1" t="s">
        <v>108</v>
      </c>
      <c r="B944" s="1" t="s">
        <v>105</v>
      </c>
      <c r="C944" s="1" t="s">
        <v>23</v>
      </c>
      <c r="D944" s="1">
        <v>227.0</v>
      </c>
      <c r="E944" s="1">
        <v>179.0</v>
      </c>
      <c r="F944" s="1">
        <f t="shared" si="2"/>
        <v>-48</v>
      </c>
      <c r="G944" s="1">
        <f t="shared" si="3"/>
        <v>48</v>
      </c>
      <c r="H944" s="6">
        <f t="shared" si="4"/>
        <v>0.2114537445</v>
      </c>
      <c r="I944" s="6">
        <f t="shared" si="5"/>
        <v>0.7885462555</v>
      </c>
      <c r="J944" s="1">
        <f t="shared" si="6"/>
        <v>-48</v>
      </c>
      <c r="K944" s="1" t="str">
        <f t="shared" si="7"/>
        <v>Under Forecast</v>
      </c>
      <c r="L944" s="1">
        <f>F944</f>
        <v>-48</v>
      </c>
      <c r="M944" s="7">
        <f t="shared" si="10"/>
        <v>63.28525981</v>
      </c>
      <c r="N944" s="7">
        <f t="shared" si="8"/>
        <v>-0.7584704581</v>
      </c>
      <c r="O944" s="2" t="str">
        <f t="shared" si="9"/>
        <v>Acceptable</v>
      </c>
    </row>
    <row r="945" ht="15.75" customHeight="1">
      <c r="A945" s="1" t="s">
        <v>108</v>
      </c>
      <c r="B945" s="1" t="s">
        <v>105</v>
      </c>
      <c r="C945" s="1" t="s">
        <v>24</v>
      </c>
      <c r="D945" s="1">
        <v>210.0</v>
      </c>
      <c r="E945" s="1">
        <v>264.0</v>
      </c>
      <c r="F945" s="1">
        <f t="shared" si="2"/>
        <v>54</v>
      </c>
      <c r="G945" s="1">
        <f t="shared" si="3"/>
        <v>54</v>
      </c>
      <c r="H945" s="6">
        <f t="shared" si="4"/>
        <v>0.2571428571</v>
      </c>
      <c r="I945" s="6">
        <f t="shared" si="5"/>
        <v>0.7428571429</v>
      </c>
      <c r="J945" s="1">
        <f t="shared" si="6"/>
        <v>54</v>
      </c>
      <c r="K945" s="1" t="str">
        <f t="shared" si="7"/>
        <v>Over Forecast</v>
      </c>
      <c r="L945" s="1">
        <f>F945+J944</f>
        <v>6</v>
      </c>
      <c r="M945" s="7">
        <f t="shared" si="10"/>
        <v>63.27542373</v>
      </c>
      <c r="N945" s="7">
        <f t="shared" si="8"/>
        <v>0.09482354517</v>
      </c>
      <c r="O945" s="2" t="str">
        <f t="shared" si="9"/>
        <v>Acceptable</v>
      </c>
    </row>
    <row r="946" ht="15.75" customHeight="1">
      <c r="A946" s="1" t="s">
        <v>108</v>
      </c>
      <c r="B946" s="1" t="s">
        <v>105</v>
      </c>
      <c r="C946" s="1" t="s">
        <v>25</v>
      </c>
      <c r="D946" s="1">
        <v>194.0</v>
      </c>
      <c r="E946" s="1">
        <v>242.0</v>
      </c>
      <c r="F946" s="1">
        <f t="shared" si="2"/>
        <v>48</v>
      </c>
      <c r="G946" s="1">
        <f t="shared" si="3"/>
        <v>48</v>
      </c>
      <c r="H946" s="6">
        <f t="shared" si="4"/>
        <v>0.2474226804</v>
      </c>
      <c r="I946" s="6">
        <f t="shared" si="5"/>
        <v>0.7525773196</v>
      </c>
      <c r="J946" s="1">
        <f t="shared" si="6"/>
        <v>48</v>
      </c>
      <c r="K946" s="1" t="str">
        <f t="shared" si="7"/>
        <v>Over Forecast</v>
      </c>
      <c r="L946" s="1">
        <f>F946</f>
        <v>48</v>
      </c>
      <c r="M946" s="7">
        <f t="shared" si="10"/>
        <v>63.25925926</v>
      </c>
      <c r="N946" s="7">
        <f t="shared" si="8"/>
        <v>0.7587822014</v>
      </c>
      <c r="O946" s="2" t="str">
        <f t="shared" si="9"/>
        <v>Acceptable</v>
      </c>
    </row>
    <row r="947" ht="15.75" customHeight="1">
      <c r="A947" s="1" t="s">
        <v>108</v>
      </c>
      <c r="B947" s="1" t="s">
        <v>105</v>
      </c>
      <c r="C947" s="1" t="s">
        <v>26</v>
      </c>
      <c r="D947" s="1">
        <v>171.0</v>
      </c>
      <c r="E947" s="1">
        <v>169.0</v>
      </c>
      <c r="F947" s="1">
        <f t="shared" si="2"/>
        <v>-2</v>
      </c>
      <c r="G947" s="1">
        <f t="shared" si="3"/>
        <v>2</v>
      </c>
      <c r="H947" s="6">
        <f t="shared" si="4"/>
        <v>0.01169590643</v>
      </c>
      <c r="I947" s="6">
        <f t="shared" si="5"/>
        <v>0.9883040936</v>
      </c>
      <c r="J947" s="1">
        <f t="shared" si="6"/>
        <v>-2</v>
      </c>
      <c r="K947" s="1" t="str">
        <f t="shared" si="7"/>
        <v>Under Forecast</v>
      </c>
      <c r="L947" s="1">
        <f>F947+J946</f>
        <v>46</v>
      </c>
      <c r="M947" s="7">
        <f t="shared" si="10"/>
        <v>63.19450317</v>
      </c>
      <c r="N947" s="7">
        <f t="shared" si="8"/>
        <v>0.7279114115</v>
      </c>
      <c r="O947" s="2" t="str">
        <f t="shared" si="9"/>
        <v>Acceptable</v>
      </c>
    </row>
    <row r="948" ht="15.75" customHeight="1">
      <c r="A948" s="1" t="s">
        <v>108</v>
      </c>
      <c r="B948" s="1" t="s">
        <v>105</v>
      </c>
      <c r="C948" s="1" t="s">
        <v>27</v>
      </c>
      <c r="D948" s="1">
        <v>176.0</v>
      </c>
      <c r="E948" s="1">
        <v>201.0</v>
      </c>
      <c r="F948" s="1">
        <f t="shared" si="2"/>
        <v>25</v>
      </c>
      <c r="G948" s="1">
        <f t="shared" si="3"/>
        <v>25</v>
      </c>
      <c r="H948" s="6">
        <f t="shared" si="4"/>
        <v>0.1420454545</v>
      </c>
      <c r="I948" s="6">
        <f t="shared" si="5"/>
        <v>0.8579545455</v>
      </c>
      <c r="J948" s="1">
        <f t="shared" si="6"/>
        <v>25</v>
      </c>
      <c r="K948" s="1" t="str">
        <f t="shared" si="7"/>
        <v>Over Forecast</v>
      </c>
      <c r="L948" s="1">
        <f>F948</f>
        <v>25</v>
      </c>
      <c r="M948" s="7">
        <f t="shared" si="10"/>
        <v>63.15417107</v>
      </c>
      <c r="N948" s="7">
        <f t="shared" si="8"/>
        <v>0.3958566723</v>
      </c>
      <c r="O948" s="2" t="str">
        <f t="shared" si="9"/>
        <v>Acceptable</v>
      </c>
    </row>
    <row r="949" ht="15.75" customHeight="1">
      <c r="A949" s="1" t="s">
        <v>108</v>
      </c>
      <c r="B949" s="1" t="s">
        <v>105</v>
      </c>
      <c r="C949" s="1" t="s">
        <v>28</v>
      </c>
      <c r="D949" s="1">
        <v>196.0</v>
      </c>
      <c r="E949" s="1">
        <v>178.0</v>
      </c>
      <c r="F949" s="1">
        <f t="shared" si="2"/>
        <v>-18</v>
      </c>
      <c r="G949" s="1">
        <f t="shared" si="3"/>
        <v>18</v>
      </c>
      <c r="H949" s="6">
        <f t="shared" si="4"/>
        <v>0.09183673469</v>
      </c>
      <c r="I949" s="6">
        <f t="shared" si="5"/>
        <v>0.9081632653</v>
      </c>
      <c r="J949" s="1">
        <f t="shared" si="6"/>
        <v>-18</v>
      </c>
      <c r="K949" s="1" t="str">
        <f t="shared" si="7"/>
        <v>Under Forecast</v>
      </c>
      <c r="L949" s="1">
        <f>F949+J948</f>
        <v>7</v>
      </c>
      <c r="M949" s="7">
        <f t="shared" si="10"/>
        <v>63.10654008</v>
      </c>
      <c r="N949" s="7">
        <f t="shared" si="8"/>
        <v>0.110923527</v>
      </c>
      <c r="O949" s="2" t="str">
        <f t="shared" si="9"/>
        <v>Acceptable</v>
      </c>
    </row>
    <row r="950" ht="15.75" customHeight="1">
      <c r="A950" s="1" t="s">
        <v>109</v>
      </c>
      <c r="B950" s="1" t="s">
        <v>105</v>
      </c>
      <c r="C950" s="1" t="s">
        <v>17</v>
      </c>
      <c r="D950" s="1">
        <v>163.0</v>
      </c>
      <c r="E950" s="1">
        <v>149.0</v>
      </c>
      <c r="F950" s="1">
        <f t="shared" si="2"/>
        <v>-14</v>
      </c>
      <c r="G950" s="1">
        <f t="shared" si="3"/>
        <v>14</v>
      </c>
      <c r="H950" s="6">
        <f t="shared" si="4"/>
        <v>0.08588957055</v>
      </c>
      <c r="I950" s="6">
        <f t="shared" si="5"/>
        <v>0.9141104294</v>
      </c>
      <c r="J950" s="1">
        <f t="shared" si="6"/>
        <v>-14</v>
      </c>
      <c r="K950" s="1" t="str">
        <f t="shared" si="7"/>
        <v>Under Forecast</v>
      </c>
      <c r="L950" s="1">
        <f>F950</f>
        <v>-14</v>
      </c>
      <c r="M950" s="7">
        <f t="shared" si="10"/>
        <v>63.05479452</v>
      </c>
      <c r="N950" s="7">
        <f t="shared" si="8"/>
        <v>-0.2220291114</v>
      </c>
      <c r="O950" s="2" t="str">
        <f t="shared" si="9"/>
        <v>Acceptable</v>
      </c>
    </row>
    <row r="951" ht="15.75" customHeight="1">
      <c r="A951" s="1" t="s">
        <v>109</v>
      </c>
      <c r="B951" s="1" t="s">
        <v>105</v>
      </c>
      <c r="C951" s="1" t="s">
        <v>18</v>
      </c>
      <c r="D951" s="1">
        <v>176.0</v>
      </c>
      <c r="E951" s="1">
        <v>215.0</v>
      </c>
      <c r="F951" s="1">
        <f t="shared" si="2"/>
        <v>39</v>
      </c>
      <c r="G951" s="1">
        <f t="shared" si="3"/>
        <v>39</v>
      </c>
      <c r="H951" s="6">
        <f t="shared" si="4"/>
        <v>0.2215909091</v>
      </c>
      <c r="I951" s="6">
        <f t="shared" si="5"/>
        <v>0.7784090909</v>
      </c>
      <c r="J951" s="1">
        <f t="shared" si="6"/>
        <v>39</v>
      </c>
      <c r="K951" s="1" t="str">
        <f t="shared" si="7"/>
        <v>Over Forecast</v>
      </c>
      <c r="L951" s="1">
        <f>F951+J950</f>
        <v>25</v>
      </c>
      <c r="M951" s="7">
        <f t="shared" si="10"/>
        <v>63.02947368</v>
      </c>
      <c r="N951" s="7">
        <f t="shared" si="8"/>
        <v>0.3966398343</v>
      </c>
      <c r="O951" s="2" t="str">
        <f t="shared" si="9"/>
        <v>Acceptable</v>
      </c>
    </row>
    <row r="952" ht="15.75" customHeight="1">
      <c r="A952" s="1" t="s">
        <v>109</v>
      </c>
      <c r="B952" s="1" t="s">
        <v>105</v>
      </c>
      <c r="C952" s="1" t="s">
        <v>19</v>
      </c>
      <c r="D952" s="1">
        <v>212.0</v>
      </c>
      <c r="E952" s="1">
        <v>178.0</v>
      </c>
      <c r="F952" s="1">
        <f t="shared" si="2"/>
        <v>-34</v>
      </c>
      <c r="G952" s="1">
        <f t="shared" si="3"/>
        <v>34</v>
      </c>
      <c r="H952" s="6">
        <f t="shared" si="4"/>
        <v>0.1603773585</v>
      </c>
      <c r="I952" s="6">
        <f t="shared" si="5"/>
        <v>0.8396226415</v>
      </c>
      <c r="J952" s="1">
        <f t="shared" si="6"/>
        <v>-34</v>
      </c>
      <c r="K952" s="1" t="str">
        <f t="shared" si="7"/>
        <v>Under Forecast</v>
      </c>
      <c r="L952" s="1">
        <f>F952</f>
        <v>-34</v>
      </c>
      <c r="M952" s="7">
        <f t="shared" si="10"/>
        <v>62.99894848</v>
      </c>
      <c r="N952" s="7">
        <f t="shared" si="8"/>
        <v>-0.5396915476</v>
      </c>
      <c r="O952" s="2" t="str">
        <f t="shared" si="9"/>
        <v>Acceptable</v>
      </c>
    </row>
    <row r="953" ht="15.75" customHeight="1">
      <c r="A953" s="1" t="s">
        <v>109</v>
      </c>
      <c r="B953" s="1" t="s">
        <v>105</v>
      </c>
      <c r="C953" s="1" t="s">
        <v>20</v>
      </c>
      <c r="D953" s="1">
        <v>184.0</v>
      </c>
      <c r="E953" s="1">
        <v>204.0</v>
      </c>
      <c r="F953" s="1">
        <f t="shared" si="2"/>
        <v>20</v>
      </c>
      <c r="G953" s="1">
        <f t="shared" si="3"/>
        <v>20</v>
      </c>
      <c r="H953" s="6">
        <f t="shared" si="4"/>
        <v>0.1086956522</v>
      </c>
      <c r="I953" s="6">
        <f t="shared" si="5"/>
        <v>0.8913043478</v>
      </c>
      <c r="J953" s="1">
        <f t="shared" si="6"/>
        <v>20</v>
      </c>
      <c r="K953" s="1" t="str">
        <f t="shared" si="7"/>
        <v>Over Forecast</v>
      </c>
      <c r="L953" s="1">
        <f>F953+J952</f>
        <v>-14</v>
      </c>
      <c r="M953" s="7">
        <f t="shared" si="10"/>
        <v>62.95378151</v>
      </c>
      <c r="N953" s="7">
        <f t="shared" si="8"/>
        <v>-0.2223853701</v>
      </c>
      <c r="O953" s="2" t="str">
        <f t="shared" si="9"/>
        <v>Acceptable</v>
      </c>
    </row>
    <row r="954" ht="15.75" customHeight="1">
      <c r="A954" s="1" t="s">
        <v>109</v>
      </c>
      <c r="B954" s="1" t="s">
        <v>105</v>
      </c>
      <c r="C954" s="1" t="s">
        <v>21</v>
      </c>
      <c r="D954" s="1">
        <v>210.0</v>
      </c>
      <c r="E954" s="1">
        <v>166.0</v>
      </c>
      <c r="F954" s="1">
        <f t="shared" si="2"/>
        <v>-44</v>
      </c>
      <c r="G954" s="1">
        <f t="shared" si="3"/>
        <v>44</v>
      </c>
      <c r="H954" s="6">
        <f t="shared" si="4"/>
        <v>0.2095238095</v>
      </c>
      <c r="I954" s="6">
        <f t="shared" si="5"/>
        <v>0.7904761905</v>
      </c>
      <c r="J954" s="1">
        <f t="shared" si="6"/>
        <v>-44</v>
      </c>
      <c r="K954" s="1" t="str">
        <f t="shared" si="7"/>
        <v>Under Forecast</v>
      </c>
      <c r="L954" s="1">
        <f>F954</f>
        <v>-44</v>
      </c>
      <c r="M954" s="7">
        <f t="shared" si="10"/>
        <v>62.93389297</v>
      </c>
      <c r="N954" s="7">
        <f t="shared" si="8"/>
        <v>-0.6991463252</v>
      </c>
      <c r="O954" s="2" t="str">
        <f t="shared" si="9"/>
        <v>Acceptable</v>
      </c>
    </row>
    <row r="955" ht="15.75" customHeight="1">
      <c r="A955" s="1" t="s">
        <v>109</v>
      </c>
      <c r="B955" s="1" t="s">
        <v>105</v>
      </c>
      <c r="C955" s="1" t="s">
        <v>22</v>
      </c>
      <c r="D955" s="1">
        <v>229.0</v>
      </c>
      <c r="E955" s="1">
        <v>234.0</v>
      </c>
      <c r="F955" s="1">
        <f t="shared" si="2"/>
        <v>5</v>
      </c>
      <c r="G955" s="1">
        <f t="shared" si="3"/>
        <v>5</v>
      </c>
      <c r="H955" s="6">
        <f t="shared" si="4"/>
        <v>0.02183406114</v>
      </c>
      <c r="I955" s="6">
        <f t="shared" si="5"/>
        <v>0.9781659389</v>
      </c>
      <c r="J955" s="1">
        <f t="shared" si="6"/>
        <v>5</v>
      </c>
      <c r="K955" s="1" t="str">
        <f t="shared" si="7"/>
        <v>Over Forecast</v>
      </c>
      <c r="L955" s="1">
        <f>F955+J954</f>
        <v>-39</v>
      </c>
      <c r="M955" s="7">
        <f t="shared" si="10"/>
        <v>62.87316562</v>
      </c>
      <c r="N955" s="7">
        <f t="shared" si="8"/>
        <v>-0.6202964272</v>
      </c>
      <c r="O955" s="2" t="str">
        <f t="shared" si="9"/>
        <v>Acceptable</v>
      </c>
    </row>
    <row r="956" ht="15.75" customHeight="1">
      <c r="A956" s="1" t="s">
        <v>109</v>
      </c>
      <c r="B956" s="1" t="s">
        <v>105</v>
      </c>
      <c r="C956" s="1" t="s">
        <v>23</v>
      </c>
      <c r="D956" s="1">
        <v>252.0</v>
      </c>
      <c r="E956" s="1">
        <v>217.0</v>
      </c>
      <c r="F956" s="1">
        <f t="shared" si="2"/>
        <v>-35</v>
      </c>
      <c r="G956" s="1">
        <f t="shared" si="3"/>
        <v>35</v>
      </c>
      <c r="H956" s="6">
        <f t="shared" si="4"/>
        <v>0.1388888889</v>
      </c>
      <c r="I956" s="6">
        <f t="shared" si="5"/>
        <v>0.8611111111</v>
      </c>
      <c r="J956" s="1">
        <f t="shared" si="6"/>
        <v>-35</v>
      </c>
      <c r="K956" s="1" t="str">
        <f t="shared" si="7"/>
        <v>Under Forecast</v>
      </c>
      <c r="L956" s="1">
        <f>F956</f>
        <v>-35</v>
      </c>
      <c r="M956" s="7">
        <f t="shared" si="10"/>
        <v>62.84397906</v>
      </c>
      <c r="N956" s="7">
        <f t="shared" si="8"/>
        <v>-0.5569348174</v>
      </c>
      <c r="O956" s="2" t="str">
        <f t="shared" si="9"/>
        <v>Acceptable</v>
      </c>
    </row>
    <row r="957" ht="15.75" customHeight="1">
      <c r="A957" s="1" t="s">
        <v>109</v>
      </c>
      <c r="B957" s="1" t="s">
        <v>105</v>
      </c>
      <c r="C957" s="1" t="s">
        <v>24</v>
      </c>
      <c r="D957" s="1">
        <v>221.0</v>
      </c>
      <c r="E957" s="1">
        <v>225.0</v>
      </c>
      <c r="F957" s="1">
        <f t="shared" si="2"/>
        <v>4</v>
      </c>
      <c r="G957" s="1">
        <f t="shared" si="3"/>
        <v>4</v>
      </c>
      <c r="H957" s="6">
        <f t="shared" si="4"/>
        <v>0.01809954751</v>
      </c>
      <c r="I957" s="6">
        <f t="shared" si="5"/>
        <v>0.9819004525</v>
      </c>
      <c r="J957" s="1">
        <f t="shared" si="6"/>
        <v>4</v>
      </c>
      <c r="K957" s="1" t="str">
        <f t="shared" si="7"/>
        <v>Over Forecast</v>
      </c>
      <c r="L957" s="1">
        <f>F957+J956</f>
        <v>-31</v>
      </c>
      <c r="M957" s="7">
        <f t="shared" si="10"/>
        <v>62.78242678</v>
      </c>
      <c r="N957" s="7">
        <f t="shared" si="8"/>
        <v>-0.4937687438</v>
      </c>
      <c r="O957" s="2" t="str">
        <f t="shared" si="9"/>
        <v>Acceptable</v>
      </c>
    </row>
    <row r="958" ht="15.75" customHeight="1">
      <c r="A958" s="1" t="s">
        <v>109</v>
      </c>
      <c r="B958" s="1" t="s">
        <v>105</v>
      </c>
      <c r="C958" s="1" t="s">
        <v>25</v>
      </c>
      <c r="D958" s="1">
        <v>230.0</v>
      </c>
      <c r="E958" s="1">
        <v>235.0</v>
      </c>
      <c r="F958" s="1">
        <f t="shared" si="2"/>
        <v>5</v>
      </c>
      <c r="G958" s="1">
        <f t="shared" si="3"/>
        <v>5</v>
      </c>
      <c r="H958" s="6">
        <f t="shared" si="4"/>
        <v>0.02173913043</v>
      </c>
      <c r="I958" s="6">
        <f t="shared" si="5"/>
        <v>0.9782608696</v>
      </c>
      <c r="J958" s="1">
        <f t="shared" si="6"/>
        <v>5</v>
      </c>
      <c r="K958" s="1" t="str">
        <f t="shared" si="7"/>
        <v>Over Forecast</v>
      </c>
      <c r="L958" s="1">
        <f>F958</f>
        <v>5</v>
      </c>
      <c r="M958" s="7">
        <f t="shared" si="10"/>
        <v>62.72204807</v>
      </c>
      <c r="N958" s="7">
        <f t="shared" si="8"/>
        <v>0.07971678467</v>
      </c>
      <c r="O958" s="2" t="str">
        <f t="shared" si="9"/>
        <v>Acceptable</v>
      </c>
    </row>
    <row r="959" ht="15.75" customHeight="1">
      <c r="A959" s="1" t="s">
        <v>109</v>
      </c>
      <c r="B959" s="1" t="s">
        <v>105</v>
      </c>
      <c r="C959" s="1" t="s">
        <v>26</v>
      </c>
      <c r="D959" s="1">
        <v>222.0</v>
      </c>
      <c r="E959" s="1">
        <v>191.0</v>
      </c>
      <c r="F959" s="1">
        <f t="shared" si="2"/>
        <v>-31</v>
      </c>
      <c r="G959" s="1">
        <f t="shared" si="3"/>
        <v>31</v>
      </c>
      <c r="H959" s="6">
        <f t="shared" si="4"/>
        <v>0.1396396396</v>
      </c>
      <c r="I959" s="6">
        <f t="shared" si="5"/>
        <v>0.8603603604</v>
      </c>
      <c r="J959" s="1">
        <f t="shared" si="6"/>
        <v>-31</v>
      </c>
      <c r="K959" s="1" t="str">
        <f t="shared" si="7"/>
        <v>Under Forecast</v>
      </c>
      <c r="L959" s="1">
        <f>F959+J958</f>
        <v>-26</v>
      </c>
      <c r="M959" s="7">
        <f t="shared" si="10"/>
        <v>62.68893528</v>
      </c>
      <c r="N959" s="7">
        <f t="shared" si="8"/>
        <v>-0.4147462368</v>
      </c>
      <c r="O959" s="2" t="str">
        <f t="shared" si="9"/>
        <v>Acceptable</v>
      </c>
    </row>
    <row r="960" ht="15.75" customHeight="1">
      <c r="A960" s="1" t="s">
        <v>109</v>
      </c>
      <c r="B960" s="1" t="s">
        <v>105</v>
      </c>
      <c r="C960" s="1" t="s">
        <v>27</v>
      </c>
      <c r="D960" s="1">
        <v>232.0</v>
      </c>
      <c r="E960" s="1">
        <v>223.0</v>
      </c>
      <c r="F960" s="1">
        <f t="shared" si="2"/>
        <v>-9</v>
      </c>
      <c r="G960" s="1">
        <f t="shared" si="3"/>
        <v>9</v>
      </c>
      <c r="H960" s="6">
        <f t="shared" si="4"/>
        <v>0.03879310345</v>
      </c>
      <c r="I960" s="6">
        <f t="shared" si="5"/>
        <v>0.9612068966</v>
      </c>
      <c r="J960" s="1">
        <f t="shared" si="6"/>
        <v>-9</v>
      </c>
      <c r="K960" s="1" t="str">
        <f t="shared" si="7"/>
        <v>Under Forecast</v>
      </c>
      <c r="L960" s="1">
        <f>F960</f>
        <v>-9</v>
      </c>
      <c r="M960" s="7">
        <f t="shared" si="10"/>
        <v>62.63295099</v>
      </c>
      <c r="N960" s="7">
        <f t="shared" si="8"/>
        <v>-0.1436943311</v>
      </c>
      <c r="O960" s="2" t="str">
        <f t="shared" si="9"/>
        <v>Acceptable</v>
      </c>
    </row>
    <row r="961" ht="15.75" customHeight="1">
      <c r="A961" s="1" t="s">
        <v>109</v>
      </c>
      <c r="B961" s="1" t="s">
        <v>105</v>
      </c>
      <c r="C961" s="1" t="s">
        <v>28</v>
      </c>
      <c r="D961" s="1">
        <v>198.0</v>
      </c>
      <c r="E961" s="1">
        <v>214.0</v>
      </c>
      <c r="F961" s="1">
        <f t="shared" si="2"/>
        <v>16</v>
      </c>
      <c r="G961" s="1">
        <f t="shared" si="3"/>
        <v>16</v>
      </c>
      <c r="H961" s="6">
        <f t="shared" si="4"/>
        <v>0.08080808081</v>
      </c>
      <c r="I961" s="6">
        <f t="shared" si="5"/>
        <v>0.9191919192</v>
      </c>
      <c r="J961" s="1">
        <f t="shared" si="6"/>
        <v>16</v>
      </c>
      <c r="K961" s="1" t="str">
        <f t="shared" si="7"/>
        <v>Over Forecast</v>
      </c>
      <c r="L961" s="1">
        <f>F961+J960</f>
        <v>7</v>
      </c>
      <c r="M961" s="7">
        <f t="shared" si="10"/>
        <v>62.584375</v>
      </c>
      <c r="N961" s="7">
        <f t="shared" si="8"/>
        <v>0.1118490038</v>
      </c>
      <c r="O961" s="2" t="str">
        <f t="shared" si="9"/>
        <v>Acceptable</v>
      </c>
    </row>
    <row r="962" ht="15.75" customHeight="1">
      <c r="A962" s="1" t="s">
        <v>110</v>
      </c>
      <c r="B962" s="1" t="s">
        <v>105</v>
      </c>
      <c r="C962" s="1" t="s">
        <v>17</v>
      </c>
      <c r="D962" s="1">
        <v>101.0</v>
      </c>
      <c r="E962" s="1">
        <v>101.0</v>
      </c>
      <c r="F962" s="1">
        <f t="shared" si="2"/>
        <v>0</v>
      </c>
      <c r="G962" s="1">
        <f t="shared" si="3"/>
        <v>0</v>
      </c>
      <c r="H962" s="6">
        <f t="shared" si="4"/>
        <v>0</v>
      </c>
      <c r="I962" s="6">
        <f t="shared" si="5"/>
        <v>1</v>
      </c>
      <c r="J962" s="1">
        <f t="shared" si="6"/>
        <v>0</v>
      </c>
      <c r="K962" s="1" t="str">
        <f t="shared" si="7"/>
        <v>Accurate Forecast</v>
      </c>
      <c r="L962" s="1">
        <f>F962</f>
        <v>0</v>
      </c>
      <c r="M962" s="7">
        <f t="shared" si="10"/>
        <v>62.51925078</v>
      </c>
      <c r="N962" s="7">
        <f t="shared" si="8"/>
        <v>0</v>
      </c>
      <c r="O962" s="2" t="str">
        <f t="shared" si="9"/>
        <v>Acceptable</v>
      </c>
    </row>
    <row r="963" ht="15.75" customHeight="1">
      <c r="A963" s="1" t="s">
        <v>110</v>
      </c>
      <c r="B963" s="1" t="s">
        <v>105</v>
      </c>
      <c r="C963" s="1" t="s">
        <v>18</v>
      </c>
      <c r="D963" s="1">
        <v>110.0</v>
      </c>
      <c r="E963" s="1">
        <v>117.0</v>
      </c>
      <c r="F963" s="1">
        <f t="shared" si="2"/>
        <v>7</v>
      </c>
      <c r="G963" s="1">
        <f t="shared" si="3"/>
        <v>7</v>
      </c>
      <c r="H963" s="6">
        <f t="shared" si="4"/>
        <v>0.06363636364</v>
      </c>
      <c r="I963" s="6">
        <f t="shared" si="5"/>
        <v>0.9363636364</v>
      </c>
      <c r="J963" s="1">
        <f t="shared" si="6"/>
        <v>7</v>
      </c>
      <c r="K963" s="1" t="str">
        <f t="shared" si="7"/>
        <v>Over Forecast</v>
      </c>
      <c r="L963" s="1">
        <f>F963+J962</f>
        <v>7</v>
      </c>
      <c r="M963" s="7">
        <f t="shared" si="10"/>
        <v>62.46153846</v>
      </c>
      <c r="N963" s="7">
        <f t="shared" si="8"/>
        <v>0.1120689655</v>
      </c>
      <c r="O963" s="2" t="str">
        <f t="shared" si="9"/>
        <v>Acceptable</v>
      </c>
    </row>
    <row r="964" ht="15.75" customHeight="1">
      <c r="A964" s="1" t="s">
        <v>110</v>
      </c>
      <c r="B964" s="1" t="s">
        <v>105</v>
      </c>
      <c r="C964" s="1" t="s">
        <v>19</v>
      </c>
      <c r="D964" s="1">
        <v>103.0</v>
      </c>
      <c r="E964" s="1">
        <v>108.0</v>
      </c>
      <c r="F964" s="1">
        <f t="shared" si="2"/>
        <v>5</v>
      </c>
      <c r="G964" s="1">
        <f t="shared" si="3"/>
        <v>5</v>
      </c>
      <c r="H964" s="6">
        <f t="shared" si="4"/>
        <v>0.04854368932</v>
      </c>
      <c r="I964" s="6">
        <f t="shared" si="5"/>
        <v>0.9514563107</v>
      </c>
      <c r="J964" s="1">
        <f t="shared" si="6"/>
        <v>5</v>
      </c>
      <c r="K964" s="1" t="str">
        <f t="shared" si="7"/>
        <v>Over Forecast</v>
      </c>
      <c r="L964" s="1">
        <f>F964</f>
        <v>5</v>
      </c>
      <c r="M964" s="7">
        <f t="shared" si="10"/>
        <v>62.40186916</v>
      </c>
      <c r="N964" s="7">
        <f t="shared" si="8"/>
        <v>0.080125805</v>
      </c>
      <c r="O964" s="2" t="str">
        <f t="shared" si="9"/>
        <v>Acceptable</v>
      </c>
    </row>
    <row r="965" ht="15.75" customHeight="1">
      <c r="A965" s="1" t="s">
        <v>110</v>
      </c>
      <c r="B965" s="1" t="s">
        <v>105</v>
      </c>
      <c r="C965" s="1" t="s">
        <v>20</v>
      </c>
      <c r="D965" s="1">
        <v>126.0</v>
      </c>
      <c r="E965" s="1">
        <v>129.0</v>
      </c>
      <c r="F965" s="1">
        <f t="shared" si="2"/>
        <v>3</v>
      </c>
      <c r="G965" s="1">
        <f t="shared" si="3"/>
        <v>3</v>
      </c>
      <c r="H965" s="6">
        <f t="shared" si="4"/>
        <v>0.02380952381</v>
      </c>
      <c r="I965" s="6">
        <f t="shared" si="5"/>
        <v>0.9761904762</v>
      </c>
      <c r="J965" s="1">
        <f t="shared" si="6"/>
        <v>3</v>
      </c>
      <c r="K965" s="1" t="str">
        <f t="shared" si="7"/>
        <v>Over Forecast</v>
      </c>
      <c r="L965" s="1">
        <f>F965+J964</f>
        <v>8</v>
      </c>
      <c r="M965" s="7">
        <f t="shared" si="10"/>
        <v>62.34024896</v>
      </c>
      <c r="N965" s="7">
        <f t="shared" si="8"/>
        <v>0.1283280085</v>
      </c>
      <c r="O965" s="2" t="str">
        <f t="shared" si="9"/>
        <v>Acceptable</v>
      </c>
    </row>
    <row r="966" ht="15.75" customHeight="1">
      <c r="A966" s="1" t="s">
        <v>110</v>
      </c>
      <c r="B966" s="1" t="s">
        <v>105</v>
      </c>
      <c r="C966" s="1" t="s">
        <v>21</v>
      </c>
      <c r="D966" s="1">
        <v>113.0</v>
      </c>
      <c r="E966" s="1">
        <v>134.0</v>
      </c>
      <c r="F966" s="1">
        <f t="shared" si="2"/>
        <v>21</v>
      </c>
      <c r="G966" s="1">
        <f t="shared" si="3"/>
        <v>21</v>
      </c>
      <c r="H966" s="6">
        <f t="shared" si="4"/>
        <v>0.185840708</v>
      </c>
      <c r="I966" s="6">
        <f t="shared" si="5"/>
        <v>0.814159292</v>
      </c>
      <c r="J966" s="1">
        <f t="shared" si="6"/>
        <v>21</v>
      </c>
      <c r="K966" s="1" t="str">
        <f t="shared" si="7"/>
        <v>Over Forecast</v>
      </c>
      <c r="L966" s="1">
        <f>F966</f>
        <v>21</v>
      </c>
      <c r="M966" s="7">
        <f t="shared" si="10"/>
        <v>62.29740933</v>
      </c>
      <c r="N966" s="7">
        <f t="shared" si="8"/>
        <v>0.3370926693</v>
      </c>
      <c r="O966" s="2" t="str">
        <f t="shared" si="9"/>
        <v>Acceptable</v>
      </c>
    </row>
    <row r="967" ht="15.75" customHeight="1">
      <c r="A967" s="1" t="s">
        <v>110</v>
      </c>
      <c r="B967" s="1" t="s">
        <v>105</v>
      </c>
      <c r="C967" s="1" t="s">
        <v>22</v>
      </c>
      <c r="D967" s="1">
        <v>121.0</v>
      </c>
      <c r="E967" s="1">
        <v>112.0</v>
      </c>
      <c r="F967" s="1">
        <f t="shared" si="2"/>
        <v>-9</v>
      </c>
      <c r="G967" s="1">
        <f t="shared" si="3"/>
        <v>9</v>
      </c>
      <c r="H967" s="6">
        <f t="shared" si="4"/>
        <v>0.07438016529</v>
      </c>
      <c r="I967" s="6">
        <f t="shared" si="5"/>
        <v>0.9256198347</v>
      </c>
      <c r="J967" s="1">
        <f t="shared" si="6"/>
        <v>-9</v>
      </c>
      <c r="K967" s="1" t="str">
        <f t="shared" si="7"/>
        <v>Under Forecast</v>
      </c>
      <c r="L967" s="1">
        <f>F967+J966</f>
        <v>12</v>
      </c>
      <c r="M967" s="7">
        <f t="shared" si="10"/>
        <v>62.24223602</v>
      </c>
      <c r="N967" s="7">
        <f t="shared" si="8"/>
        <v>0.1927951302</v>
      </c>
      <c r="O967" s="2" t="str">
        <f t="shared" si="9"/>
        <v>Acceptable</v>
      </c>
    </row>
    <row r="968" ht="15.75" customHeight="1">
      <c r="A968" s="1" t="s">
        <v>110</v>
      </c>
      <c r="B968" s="1" t="s">
        <v>105</v>
      </c>
      <c r="C968" s="1" t="s">
        <v>23</v>
      </c>
      <c r="D968" s="1">
        <v>124.0</v>
      </c>
      <c r="E968" s="1">
        <v>119.0</v>
      </c>
      <c r="F968" s="1">
        <f t="shared" si="2"/>
        <v>-5</v>
      </c>
      <c r="G968" s="1">
        <f t="shared" si="3"/>
        <v>5</v>
      </c>
      <c r="H968" s="6">
        <f t="shared" si="4"/>
        <v>0.04032258065</v>
      </c>
      <c r="I968" s="6">
        <f t="shared" si="5"/>
        <v>0.9596774194</v>
      </c>
      <c r="J968" s="1">
        <f t="shared" si="6"/>
        <v>-5</v>
      </c>
      <c r="K968" s="1" t="str">
        <f t="shared" si="7"/>
        <v>Under Forecast</v>
      </c>
      <c r="L968" s="1">
        <f>F968</f>
        <v>-5</v>
      </c>
      <c r="M968" s="7">
        <f t="shared" si="10"/>
        <v>62.18304033</v>
      </c>
      <c r="N968" s="7">
        <f t="shared" si="8"/>
        <v>-0.08040777635</v>
      </c>
      <c r="O968" s="2" t="str">
        <f t="shared" si="9"/>
        <v>Acceptable</v>
      </c>
    </row>
    <row r="969" ht="15.75" customHeight="1">
      <c r="A969" s="1" t="s">
        <v>110</v>
      </c>
      <c r="B969" s="1" t="s">
        <v>105</v>
      </c>
      <c r="C969" s="1" t="s">
        <v>24</v>
      </c>
      <c r="D969" s="1">
        <v>137.0</v>
      </c>
      <c r="E969" s="1">
        <v>145.0</v>
      </c>
      <c r="F969" s="1">
        <f t="shared" si="2"/>
        <v>8</v>
      </c>
      <c r="G969" s="1">
        <f t="shared" si="3"/>
        <v>8</v>
      </c>
      <c r="H969" s="6">
        <f t="shared" si="4"/>
        <v>0.05839416058</v>
      </c>
      <c r="I969" s="6">
        <f t="shared" si="5"/>
        <v>0.9416058394</v>
      </c>
      <c r="J969" s="1">
        <f t="shared" si="6"/>
        <v>8</v>
      </c>
      <c r="K969" s="1" t="str">
        <f t="shared" si="7"/>
        <v>Over Forecast</v>
      </c>
      <c r="L969" s="1">
        <f>F969+J968</f>
        <v>3</v>
      </c>
      <c r="M969" s="7">
        <f t="shared" si="10"/>
        <v>62.12706612</v>
      </c>
      <c r="N969" s="7">
        <f t="shared" si="8"/>
        <v>0.04828813249</v>
      </c>
      <c r="O969" s="2" t="str">
        <f t="shared" si="9"/>
        <v>Acceptable</v>
      </c>
    </row>
    <row r="970" ht="15.75" customHeight="1">
      <c r="A970" s="1" t="s">
        <v>110</v>
      </c>
      <c r="B970" s="1" t="s">
        <v>105</v>
      </c>
      <c r="C970" s="1" t="s">
        <v>25</v>
      </c>
      <c r="D970" s="1">
        <v>118.0</v>
      </c>
      <c r="E970" s="1">
        <v>146.0</v>
      </c>
      <c r="F970" s="1">
        <f t="shared" si="2"/>
        <v>28</v>
      </c>
      <c r="G970" s="1">
        <f t="shared" si="3"/>
        <v>28</v>
      </c>
      <c r="H970" s="6">
        <f t="shared" si="4"/>
        <v>0.2372881356</v>
      </c>
      <c r="I970" s="6">
        <f t="shared" si="5"/>
        <v>0.7627118644</v>
      </c>
      <c r="J970" s="1">
        <f t="shared" si="6"/>
        <v>28</v>
      </c>
      <c r="K970" s="1" t="str">
        <f t="shared" si="7"/>
        <v>Over Forecast</v>
      </c>
      <c r="L970" s="1">
        <f>F970</f>
        <v>28</v>
      </c>
      <c r="M970" s="7">
        <f t="shared" si="10"/>
        <v>62.09184727</v>
      </c>
      <c r="N970" s="7">
        <f t="shared" si="8"/>
        <v>0.4509448701</v>
      </c>
      <c r="O970" s="2" t="str">
        <f t="shared" si="9"/>
        <v>Acceptable</v>
      </c>
    </row>
    <row r="971" ht="15.75" customHeight="1">
      <c r="A971" s="1" t="s">
        <v>110</v>
      </c>
      <c r="B971" s="1" t="s">
        <v>105</v>
      </c>
      <c r="C971" s="1" t="s">
        <v>26</v>
      </c>
      <c r="D971" s="1">
        <v>134.0</v>
      </c>
      <c r="E971" s="1">
        <v>165.0</v>
      </c>
      <c r="F971" s="1">
        <f t="shared" si="2"/>
        <v>31</v>
      </c>
      <c r="G971" s="1">
        <f t="shared" si="3"/>
        <v>31</v>
      </c>
      <c r="H971" s="6">
        <f t="shared" si="4"/>
        <v>0.2313432836</v>
      </c>
      <c r="I971" s="6">
        <f t="shared" si="5"/>
        <v>0.7686567164</v>
      </c>
      <c r="J971" s="1">
        <f t="shared" si="6"/>
        <v>31</v>
      </c>
      <c r="K971" s="1" t="str">
        <f t="shared" si="7"/>
        <v>Over Forecast</v>
      </c>
      <c r="L971" s="1">
        <f>F971+J970</f>
        <v>59</v>
      </c>
      <c r="M971" s="7">
        <f t="shared" si="10"/>
        <v>62.05979381</v>
      </c>
      <c r="N971" s="7">
        <f t="shared" si="8"/>
        <v>0.9506960364</v>
      </c>
      <c r="O971" s="2" t="str">
        <f t="shared" si="9"/>
        <v>Acceptable</v>
      </c>
    </row>
    <row r="972" ht="15.75" customHeight="1">
      <c r="A972" s="1" t="s">
        <v>110</v>
      </c>
      <c r="B972" s="1" t="s">
        <v>105</v>
      </c>
      <c r="C972" s="1" t="s">
        <v>27</v>
      </c>
      <c r="D972" s="1">
        <v>118.0</v>
      </c>
      <c r="E972" s="1">
        <v>121.0</v>
      </c>
      <c r="F972" s="1">
        <f t="shared" si="2"/>
        <v>3</v>
      </c>
      <c r="G972" s="1">
        <f t="shared" si="3"/>
        <v>3</v>
      </c>
      <c r="H972" s="6">
        <f t="shared" si="4"/>
        <v>0.02542372881</v>
      </c>
      <c r="I972" s="6">
        <f t="shared" si="5"/>
        <v>0.9745762712</v>
      </c>
      <c r="J972" s="1">
        <f t="shared" si="6"/>
        <v>3</v>
      </c>
      <c r="K972" s="1" t="str">
        <f t="shared" si="7"/>
        <v>Over Forecast</v>
      </c>
      <c r="L972" s="1">
        <f>F972</f>
        <v>3</v>
      </c>
      <c r="M972" s="7">
        <f t="shared" si="10"/>
        <v>61.99897013</v>
      </c>
      <c r="N972" s="7">
        <f t="shared" si="8"/>
        <v>0.04838790053</v>
      </c>
      <c r="O972" s="2" t="str">
        <f t="shared" si="9"/>
        <v>Acceptable</v>
      </c>
    </row>
    <row r="973" ht="15.75" customHeight="1">
      <c r="A973" s="1" t="s">
        <v>110</v>
      </c>
      <c r="B973" s="1" t="s">
        <v>105</v>
      </c>
      <c r="C973" s="1" t="s">
        <v>28</v>
      </c>
      <c r="D973" s="1">
        <v>134.0</v>
      </c>
      <c r="E973" s="1">
        <v>158.0</v>
      </c>
      <c r="F973" s="1">
        <f t="shared" si="2"/>
        <v>24</v>
      </c>
      <c r="G973" s="1">
        <f t="shared" si="3"/>
        <v>24</v>
      </c>
      <c r="H973" s="6">
        <f t="shared" si="4"/>
        <v>0.1791044776</v>
      </c>
      <c r="I973" s="6">
        <f t="shared" si="5"/>
        <v>0.8208955224</v>
      </c>
      <c r="J973" s="1">
        <f t="shared" si="6"/>
        <v>24</v>
      </c>
      <c r="K973" s="1" t="str">
        <f t="shared" si="7"/>
        <v>Over Forecast</v>
      </c>
      <c r="L973" s="1">
        <f>F973+J972</f>
        <v>27</v>
      </c>
      <c r="M973" s="7">
        <f t="shared" si="10"/>
        <v>61.95987654</v>
      </c>
      <c r="N973" s="7">
        <f t="shared" si="8"/>
        <v>0.435765878</v>
      </c>
      <c r="O973" s="2" t="str">
        <f t="shared" si="9"/>
        <v>Acceptable</v>
      </c>
    </row>
    <row r="974" ht="15.75" customHeight="1">
      <c r="A974" s="1" t="s">
        <v>111</v>
      </c>
      <c r="B974" s="1" t="s">
        <v>105</v>
      </c>
      <c r="C974" s="1" t="s">
        <v>17</v>
      </c>
      <c r="D974" s="1">
        <v>212.0</v>
      </c>
      <c r="E974" s="1">
        <v>189.0</v>
      </c>
      <c r="F974" s="1">
        <f t="shared" si="2"/>
        <v>-23</v>
      </c>
      <c r="G974" s="1">
        <f t="shared" si="3"/>
        <v>23</v>
      </c>
      <c r="H974" s="6">
        <f t="shared" si="4"/>
        <v>0.108490566</v>
      </c>
      <c r="I974" s="6">
        <f t="shared" si="5"/>
        <v>0.891509434</v>
      </c>
      <c r="J974" s="1">
        <f t="shared" si="6"/>
        <v>-23</v>
      </c>
      <c r="K974" s="1" t="str">
        <f t="shared" si="7"/>
        <v>Under Forecast</v>
      </c>
      <c r="L974" s="1">
        <f>F974</f>
        <v>-23</v>
      </c>
      <c r="M974" s="7">
        <f t="shared" si="10"/>
        <v>61.91983556</v>
      </c>
      <c r="N974" s="7">
        <f t="shared" si="8"/>
        <v>-0.3714480149</v>
      </c>
      <c r="O974" s="2" t="str">
        <f t="shared" si="9"/>
        <v>Acceptable</v>
      </c>
    </row>
    <row r="975" ht="15.75" customHeight="1">
      <c r="A975" s="1" t="s">
        <v>111</v>
      </c>
      <c r="B975" s="1" t="s">
        <v>105</v>
      </c>
      <c r="C975" s="1" t="s">
        <v>18</v>
      </c>
      <c r="D975" s="1">
        <v>230.0</v>
      </c>
      <c r="E975" s="1">
        <v>210.0</v>
      </c>
      <c r="F975" s="1">
        <f t="shared" si="2"/>
        <v>-20</v>
      </c>
      <c r="G975" s="1">
        <f t="shared" si="3"/>
        <v>20</v>
      </c>
      <c r="H975" s="6">
        <f t="shared" si="4"/>
        <v>0.08695652174</v>
      </c>
      <c r="I975" s="6">
        <f t="shared" si="5"/>
        <v>0.9130434783</v>
      </c>
      <c r="J975" s="1">
        <f t="shared" si="6"/>
        <v>-20</v>
      </c>
      <c r="K975" s="1" t="str">
        <f t="shared" si="7"/>
        <v>Under Forecast</v>
      </c>
      <c r="L975" s="1">
        <f>F975+J974</f>
        <v>-43</v>
      </c>
      <c r="M975" s="7">
        <f t="shared" si="10"/>
        <v>61.87679671</v>
      </c>
      <c r="N975" s="7">
        <f t="shared" si="8"/>
        <v>-0.6949293157</v>
      </c>
      <c r="O975" s="2" t="str">
        <f t="shared" si="9"/>
        <v>Acceptable</v>
      </c>
    </row>
    <row r="976" ht="15.75" customHeight="1">
      <c r="A976" s="1" t="s">
        <v>111</v>
      </c>
      <c r="B976" s="1" t="s">
        <v>105</v>
      </c>
      <c r="C976" s="1" t="s">
        <v>19</v>
      </c>
      <c r="D976" s="1">
        <v>268.0</v>
      </c>
      <c r="E976" s="1">
        <v>242.0</v>
      </c>
      <c r="F976" s="1">
        <f t="shared" si="2"/>
        <v>-26</v>
      </c>
      <c r="G976" s="1">
        <f t="shared" si="3"/>
        <v>26</v>
      </c>
      <c r="H976" s="6">
        <f t="shared" si="4"/>
        <v>0.09701492537</v>
      </c>
      <c r="I976" s="6">
        <f t="shared" si="5"/>
        <v>0.9029850746</v>
      </c>
      <c r="J976" s="1">
        <f t="shared" si="6"/>
        <v>-26</v>
      </c>
      <c r="K976" s="1" t="str">
        <f t="shared" si="7"/>
        <v>Under Forecast</v>
      </c>
      <c r="L976" s="1">
        <f>F976</f>
        <v>-26</v>
      </c>
      <c r="M976" s="7">
        <f t="shared" si="10"/>
        <v>61.84</v>
      </c>
      <c r="N976" s="7">
        <f t="shared" si="8"/>
        <v>-0.4204398448</v>
      </c>
      <c r="O976" s="2" t="str">
        <f t="shared" si="9"/>
        <v>Acceptable</v>
      </c>
    </row>
    <row r="977" ht="15.75" customHeight="1">
      <c r="A977" s="1" t="s">
        <v>111</v>
      </c>
      <c r="B977" s="1" t="s">
        <v>105</v>
      </c>
      <c r="C977" s="1" t="s">
        <v>20</v>
      </c>
      <c r="D977" s="1">
        <v>261.0</v>
      </c>
      <c r="E977" s="1">
        <v>239.0</v>
      </c>
      <c r="F977" s="1">
        <f t="shared" si="2"/>
        <v>-22</v>
      </c>
      <c r="G977" s="1">
        <f t="shared" si="3"/>
        <v>22</v>
      </c>
      <c r="H977" s="6">
        <f t="shared" si="4"/>
        <v>0.08429118774</v>
      </c>
      <c r="I977" s="6">
        <f t="shared" si="5"/>
        <v>0.9157088123</v>
      </c>
      <c r="J977" s="1">
        <f t="shared" si="6"/>
        <v>-22</v>
      </c>
      <c r="K977" s="1" t="str">
        <f t="shared" si="7"/>
        <v>Under Forecast</v>
      </c>
      <c r="L977" s="1">
        <f>F977+J976</f>
        <v>-48</v>
      </c>
      <c r="M977" s="7">
        <f t="shared" si="10"/>
        <v>61.79918033</v>
      </c>
      <c r="N977" s="7">
        <f t="shared" si="8"/>
        <v>-0.7767093309</v>
      </c>
      <c r="O977" s="2" t="str">
        <f t="shared" si="9"/>
        <v>Acceptable</v>
      </c>
    </row>
    <row r="978" ht="15.75" customHeight="1">
      <c r="A978" s="1" t="s">
        <v>111</v>
      </c>
      <c r="B978" s="1" t="s">
        <v>105</v>
      </c>
      <c r="C978" s="1" t="s">
        <v>21</v>
      </c>
      <c r="D978" s="1">
        <v>252.0</v>
      </c>
      <c r="E978" s="1">
        <v>237.0</v>
      </c>
      <c r="F978" s="1">
        <f t="shared" si="2"/>
        <v>-15</v>
      </c>
      <c r="G978" s="1">
        <f t="shared" si="3"/>
        <v>15</v>
      </c>
      <c r="H978" s="6">
        <f t="shared" si="4"/>
        <v>0.05952380952</v>
      </c>
      <c r="I978" s="6">
        <f t="shared" si="5"/>
        <v>0.9404761905</v>
      </c>
      <c r="J978" s="1">
        <f t="shared" si="6"/>
        <v>-15</v>
      </c>
      <c r="K978" s="1" t="str">
        <f t="shared" si="7"/>
        <v>Under Forecast</v>
      </c>
      <c r="L978" s="1">
        <f>F978</f>
        <v>-15</v>
      </c>
      <c r="M978" s="7">
        <f t="shared" si="10"/>
        <v>61.75127943</v>
      </c>
      <c r="N978" s="7">
        <f t="shared" si="8"/>
        <v>-0.2429099468</v>
      </c>
      <c r="O978" s="2" t="str">
        <f t="shared" si="9"/>
        <v>Acceptable</v>
      </c>
    </row>
    <row r="979" ht="15.75" customHeight="1">
      <c r="A979" s="1" t="s">
        <v>111</v>
      </c>
      <c r="B979" s="1" t="s">
        <v>105</v>
      </c>
      <c r="C979" s="1" t="s">
        <v>22</v>
      </c>
      <c r="D979" s="1">
        <v>266.0</v>
      </c>
      <c r="E979" s="1">
        <v>216.0</v>
      </c>
      <c r="F979" s="1">
        <f t="shared" si="2"/>
        <v>-50</v>
      </c>
      <c r="G979" s="1">
        <f t="shared" si="3"/>
        <v>50</v>
      </c>
      <c r="H979" s="6">
        <f t="shared" si="4"/>
        <v>0.1879699248</v>
      </c>
      <c r="I979" s="6">
        <f t="shared" si="5"/>
        <v>0.8120300752</v>
      </c>
      <c r="J979" s="1">
        <f t="shared" si="6"/>
        <v>-50</v>
      </c>
      <c r="K979" s="1" t="str">
        <f t="shared" si="7"/>
        <v>Under Forecast</v>
      </c>
      <c r="L979" s="1">
        <f>F979+J978</f>
        <v>-65</v>
      </c>
      <c r="M979" s="7">
        <f t="shared" si="10"/>
        <v>61.7392638</v>
      </c>
      <c r="N979" s="7">
        <f t="shared" si="8"/>
        <v>-1.052814627</v>
      </c>
      <c r="O979" s="2" t="str">
        <f t="shared" si="9"/>
        <v>Acceptable</v>
      </c>
    </row>
    <row r="980" ht="15.75" customHeight="1">
      <c r="A980" s="1" t="s">
        <v>111</v>
      </c>
      <c r="B980" s="1" t="s">
        <v>105</v>
      </c>
      <c r="C980" s="1" t="s">
        <v>23</v>
      </c>
      <c r="D980" s="1">
        <v>268.0</v>
      </c>
      <c r="E980" s="1">
        <v>240.0</v>
      </c>
      <c r="F980" s="1">
        <f t="shared" si="2"/>
        <v>-28</v>
      </c>
      <c r="G980" s="1">
        <f t="shared" si="3"/>
        <v>28</v>
      </c>
      <c r="H980" s="6">
        <f t="shared" si="4"/>
        <v>0.1044776119</v>
      </c>
      <c r="I980" s="6">
        <f t="shared" si="5"/>
        <v>0.8955223881</v>
      </c>
      <c r="J980" s="1">
        <f t="shared" si="6"/>
        <v>-28</v>
      </c>
      <c r="K980" s="1" t="str">
        <f t="shared" si="7"/>
        <v>Under Forecast</v>
      </c>
      <c r="L980" s="1">
        <f>F980</f>
        <v>-28</v>
      </c>
      <c r="M980" s="7">
        <f t="shared" si="10"/>
        <v>61.70480082</v>
      </c>
      <c r="N980" s="7">
        <f t="shared" si="8"/>
        <v>-0.4537734444</v>
      </c>
      <c r="O980" s="2" t="str">
        <f t="shared" si="9"/>
        <v>Acceptable</v>
      </c>
    </row>
    <row r="981" ht="15.75" customHeight="1">
      <c r="A981" s="1" t="s">
        <v>111</v>
      </c>
      <c r="B981" s="1" t="s">
        <v>105</v>
      </c>
      <c r="C981" s="1" t="s">
        <v>24</v>
      </c>
      <c r="D981" s="1">
        <v>300.0</v>
      </c>
      <c r="E981" s="1">
        <v>257.0</v>
      </c>
      <c r="F981" s="1">
        <f t="shared" si="2"/>
        <v>-43</v>
      </c>
      <c r="G981" s="1">
        <f t="shared" si="3"/>
        <v>43</v>
      </c>
      <c r="H981" s="6">
        <f t="shared" si="4"/>
        <v>0.1433333333</v>
      </c>
      <c r="I981" s="6">
        <f t="shared" si="5"/>
        <v>0.8566666667</v>
      </c>
      <c r="J981" s="1">
        <f t="shared" si="6"/>
        <v>-43</v>
      </c>
      <c r="K981" s="1" t="str">
        <f t="shared" si="7"/>
        <v>Under Forecast</v>
      </c>
      <c r="L981" s="1">
        <f>F981+J980</f>
        <v>-71</v>
      </c>
      <c r="M981" s="7">
        <f t="shared" si="10"/>
        <v>61.68571429</v>
      </c>
      <c r="N981" s="7">
        <f t="shared" si="8"/>
        <v>-1.150995831</v>
      </c>
      <c r="O981" s="2" t="str">
        <f t="shared" si="9"/>
        <v>Acceptable</v>
      </c>
    </row>
    <row r="982" ht="15.75" customHeight="1">
      <c r="A982" s="1" t="s">
        <v>111</v>
      </c>
      <c r="B982" s="1" t="s">
        <v>105</v>
      </c>
      <c r="C982" s="1" t="s">
        <v>25</v>
      </c>
      <c r="D982" s="1">
        <v>262.0</v>
      </c>
      <c r="E982" s="1">
        <v>272.0</v>
      </c>
      <c r="F982" s="1">
        <f t="shared" si="2"/>
        <v>10</v>
      </c>
      <c r="G982" s="1">
        <f t="shared" si="3"/>
        <v>10</v>
      </c>
      <c r="H982" s="6">
        <f t="shared" si="4"/>
        <v>0.03816793893</v>
      </c>
      <c r="I982" s="6">
        <f t="shared" si="5"/>
        <v>0.9618320611</v>
      </c>
      <c r="J982" s="1">
        <f t="shared" si="6"/>
        <v>10</v>
      </c>
      <c r="K982" s="1" t="str">
        <f t="shared" si="7"/>
        <v>Over Forecast</v>
      </c>
      <c r="L982" s="1">
        <f>F982</f>
        <v>10</v>
      </c>
      <c r="M982" s="7">
        <f t="shared" si="10"/>
        <v>61.63302752</v>
      </c>
      <c r="N982" s="7">
        <f t="shared" si="8"/>
        <v>0.1622506698</v>
      </c>
      <c r="O982" s="2" t="str">
        <f t="shared" si="9"/>
        <v>Acceptable</v>
      </c>
    </row>
    <row r="983" ht="15.75" customHeight="1">
      <c r="A983" s="1" t="s">
        <v>111</v>
      </c>
      <c r="B983" s="1" t="s">
        <v>105</v>
      </c>
      <c r="C983" s="1" t="s">
        <v>26</v>
      </c>
      <c r="D983" s="1">
        <v>254.0</v>
      </c>
      <c r="E983" s="1">
        <v>296.0</v>
      </c>
      <c r="F983" s="1">
        <f t="shared" si="2"/>
        <v>42</v>
      </c>
      <c r="G983" s="1">
        <f t="shared" si="3"/>
        <v>42</v>
      </c>
      <c r="H983" s="6">
        <f t="shared" si="4"/>
        <v>0.1653543307</v>
      </c>
      <c r="I983" s="6">
        <f t="shared" si="5"/>
        <v>0.8346456693</v>
      </c>
      <c r="J983" s="1">
        <f t="shared" si="6"/>
        <v>42</v>
      </c>
      <c r="K983" s="1" t="str">
        <f t="shared" si="7"/>
        <v>Over Forecast</v>
      </c>
      <c r="L983" s="1">
        <f>F983+J982</f>
        <v>52</v>
      </c>
      <c r="M983" s="7">
        <f t="shared" si="10"/>
        <v>61.61303462</v>
      </c>
      <c r="N983" s="7">
        <f t="shared" si="8"/>
        <v>0.8439772577</v>
      </c>
      <c r="O983" s="2" t="str">
        <f t="shared" si="9"/>
        <v>Acceptable</v>
      </c>
    </row>
    <row r="984" ht="15.75" customHeight="1">
      <c r="A984" s="1" t="s">
        <v>111</v>
      </c>
      <c r="B984" s="1" t="s">
        <v>105</v>
      </c>
      <c r="C984" s="1" t="s">
        <v>27</v>
      </c>
      <c r="D984" s="1">
        <v>269.0</v>
      </c>
      <c r="E984" s="1">
        <v>253.0</v>
      </c>
      <c r="F984" s="1">
        <f t="shared" si="2"/>
        <v>-16</v>
      </c>
      <c r="G984" s="1">
        <f t="shared" si="3"/>
        <v>16</v>
      </c>
      <c r="H984" s="6">
        <f t="shared" si="4"/>
        <v>0.0594795539</v>
      </c>
      <c r="I984" s="6">
        <f t="shared" si="5"/>
        <v>0.9405204461</v>
      </c>
      <c r="J984" s="1">
        <f t="shared" si="6"/>
        <v>-16</v>
      </c>
      <c r="K984" s="1" t="str">
        <f t="shared" si="7"/>
        <v>Under Forecast</v>
      </c>
      <c r="L984" s="1">
        <f>F984</f>
        <v>-16</v>
      </c>
      <c r="M984" s="7">
        <f t="shared" si="10"/>
        <v>61.56663276</v>
      </c>
      <c r="N984" s="7">
        <f t="shared" si="8"/>
        <v>-0.2598810311</v>
      </c>
      <c r="O984" s="2" t="str">
        <f t="shared" si="9"/>
        <v>Acceptable</v>
      </c>
    </row>
    <row r="985" ht="15.75" customHeight="1">
      <c r="A985" s="1" t="s">
        <v>111</v>
      </c>
      <c r="B985" s="1" t="s">
        <v>105</v>
      </c>
      <c r="C985" s="1" t="s">
        <v>28</v>
      </c>
      <c r="D985" s="1">
        <v>266.0</v>
      </c>
      <c r="E985" s="1">
        <v>213.0</v>
      </c>
      <c r="F985" s="1">
        <f t="shared" si="2"/>
        <v>-53</v>
      </c>
      <c r="G985" s="1">
        <f t="shared" si="3"/>
        <v>53</v>
      </c>
      <c r="H985" s="6">
        <f t="shared" si="4"/>
        <v>0.1992481203</v>
      </c>
      <c r="I985" s="6">
        <f t="shared" si="5"/>
        <v>0.8007518797</v>
      </c>
      <c r="J985" s="1">
        <f t="shared" si="6"/>
        <v>-53</v>
      </c>
      <c r="K985" s="1" t="str">
        <f t="shared" si="7"/>
        <v>Under Forecast</v>
      </c>
      <c r="L985" s="1">
        <f>F985+J984</f>
        <v>-69</v>
      </c>
      <c r="M985" s="7">
        <f t="shared" si="10"/>
        <v>61.55792683</v>
      </c>
      <c r="N985" s="7">
        <f t="shared" si="8"/>
        <v>-1.120895448</v>
      </c>
      <c r="O985" s="2" t="str">
        <f t="shared" si="9"/>
        <v>Acceptable</v>
      </c>
    </row>
    <row r="986" ht="15.75" customHeight="1">
      <c r="A986" s="1" t="s">
        <v>112</v>
      </c>
      <c r="B986" s="1" t="s">
        <v>105</v>
      </c>
      <c r="C986" s="1" t="s">
        <v>17</v>
      </c>
      <c r="D986" s="1">
        <v>135.0</v>
      </c>
      <c r="E986" s="1">
        <v>119.0</v>
      </c>
      <c r="F986" s="1">
        <f t="shared" si="2"/>
        <v>-16</v>
      </c>
      <c r="G986" s="1">
        <f t="shared" si="3"/>
        <v>16</v>
      </c>
      <c r="H986" s="6">
        <f t="shared" si="4"/>
        <v>0.1185185185</v>
      </c>
      <c r="I986" s="6">
        <f t="shared" si="5"/>
        <v>0.8814814815</v>
      </c>
      <c r="J986" s="1">
        <f t="shared" si="6"/>
        <v>-16</v>
      </c>
      <c r="K986" s="1" t="str">
        <f t="shared" si="7"/>
        <v>Under Forecast</v>
      </c>
      <c r="L986" s="1">
        <f>F986</f>
        <v>-16</v>
      </c>
      <c r="M986" s="7">
        <f t="shared" si="10"/>
        <v>61.51167513</v>
      </c>
      <c r="N986" s="7">
        <f t="shared" si="8"/>
        <v>-0.2601132219</v>
      </c>
      <c r="O986" s="2" t="str">
        <f t="shared" si="9"/>
        <v>Acceptable</v>
      </c>
    </row>
    <row r="987" ht="15.75" customHeight="1">
      <c r="A987" s="1" t="s">
        <v>112</v>
      </c>
      <c r="B987" s="1" t="s">
        <v>105</v>
      </c>
      <c r="C987" s="1" t="s">
        <v>18</v>
      </c>
      <c r="D987" s="1">
        <v>145.0</v>
      </c>
      <c r="E987" s="1">
        <v>118.0</v>
      </c>
      <c r="F987" s="1">
        <f t="shared" si="2"/>
        <v>-27</v>
      </c>
      <c r="G987" s="1">
        <f t="shared" si="3"/>
        <v>27</v>
      </c>
      <c r="H987" s="6">
        <f t="shared" si="4"/>
        <v>0.1862068966</v>
      </c>
      <c r="I987" s="6">
        <f t="shared" si="5"/>
        <v>0.8137931034</v>
      </c>
      <c r="J987" s="1">
        <f t="shared" si="6"/>
        <v>-27</v>
      </c>
      <c r="K987" s="1" t="str">
        <f t="shared" si="7"/>
        <v>Under Forecast</v>
      </c>
      <c r="L987" s="1">
        <f>F987+J986</f>
        <v>-43</v>
      </c>
      <c r="M987" s="7">
        <f t="shared" si="10"/>
        <v>61.47667343</v>
      </c>
      <c r="N987" s="7">
        <f t="shared" si="8"/>
        <v>-0.6994522898</v>
      </c>
      <c r="O987" s="2" t="str">
        <f t="shared" si="9"/>
        <v>Acceptable</v>
      </c>
    </row>
    <row r="988" ht="15.75" customHeight="1">
      <c r="A988" s="1" t="s">
        <v>112</v>
      </c>
      <c r="B988" s="1" t="s">
        <v>105</v>
      </c>
      <c r="C988" s="1" t="s">
        <v>19</v>
      </c>
      <c r="D988" s="1">
        <v>132.0</v>
      </c>
      <c r="E988" s="1">
        <v>111.0</v>
      </c>
      <c r="F988" s="1">
        <f t="shared" si="2"/>
        <v>-21</v>
      </c>
      <c r="G988" s="1">
        <f t="shared" si="3"/>
        <v>21</v>
      </c>
      <c r="H988" s="6">
        <f t="shared" si="4"/>
        <v>0.1590909091</v>
      </c>
      <c r="I988" s="6">
        <f t="shared" si="5"/>
        <v>0.8409090909</v>
      </c>
      <c r="J988" s="1">
        <f t="shared" si="6"/>
        <v>-21</v>
      </c>
      <c r="K988" s="1" t="str">
        <f t="shared" si="7"/>
        <v>Under Forecast</v>
      </c>
      <c r="L988" s="1">
        <f>F988</f>
        <v>-21</v>
      </c>
      <c r="M988" s="7">
        <f t="shared" si="10"/>
        <v>61.43566363</v>
      </c>
      <c r="N988" s="7">
        <f t="shared" si="8"/>
        <v>-0.3418210004</v>
      </c>
      <c r="O988" s="2" t="str">
        <f t="shared" si="9"/>
        <v>Acceptable</v>
      </c>
    </row>
    <row r="989" ht="15.75" customHeight="1">
      <c r="A989" s="1" t="s">
        <v>112</v>
      </c>
      <c r="B989" s="1" t="s">
        <v>105</v>
      </c>
      <c r="C989" s="1" t="s">
        <v>20</v>
      </c>
      <c r="D989" s="1">
        <v>160.0</v>
      </c>
      <c r="E989" s="1">
        <v>172.0</v>
      </c>
      <c r="F989" s="1">
        <f t="shared" si="2"/>
        <v>12</v>
      </c>
      <c r="G989" s="1">
        <f t="shared" si="3"/>
        <v>12</v>
      </c>
      <c r="H989" s="6">
        <f t="shared" si="4"/>
        <v>0.075</v>
      </c>
      <c r="I989" s="6">
        <f t="shared" si="5"/>
        <v>0.925</v>
      </c>
      <c r="J989" s="1">
        <f t="shared" si="6"/>
        <v>12</v>
      </c>
      <c r="K989" s="1" t="str">
        <f t="shared" si="7"/>
        <v>Over Forecast</v>
      </c>
      <c r="L989" s="1">
        <f>F989+J988</f>
        <v>-9</v>
      </c>
      <c r="M989" s="7">
        <f t="shared" si="10"/>
        <v>61.38562753</v>
      </c>
      <c r="N989" s="7">
        <f t="shared" si="8"/>
        <v>-0.1466141239</v>
      </c>
      <c r="O989" s="2" t="str">
        <f t="shared" si="9"/>
        <v>Acceptable</v>
      </c>
    </row>
    <row r="990" ht="15.75" customHeight="1">
      <c r="A990" s="1" t="s">
        <v>112</v>
      </c>
      <c r="B990" s="1" t="s">
        <v>105</v>
      </c>
      <c r="C990" s="1" t="s">
        <v>21</v>
      </c>
      <c r="D990" s="1">
        <v>146.0</v>
      </c>
      <c r="E990" s="1">
        <v>141.0</v>
      </c>
      <c r="F990" s="1">
        <f t="shared" si="2"/>
        <v>-5</v>
      </c>
      <c r="G990" s="1">
        <f t="shared" si="3"/>
        <v>5</v>
      </c>
      <c r="H990" s="6">
        <f t="shared" si="4"/>
        <v>0.03424657534</v>
      </c>
      <c r="I990" s="6">
        <f t="shared" si="5"/>
        <v>0.9657534247</v>
      </c>
      <c r="J990" s="1">
        <f t="shared" si="6"/>
        <v>-5</v>
      </c>
      <c r="K990" s="1" t="str">
        <f t="shared" si="7"/>
        <v>Under Forecast</v>
      </c>
      <c r="L990" s="1">
        <f>F990</f>
        <v>-5</v>
      </c>
      <c r="M990" s="7">
        <f t="shared" si="10"/>
        <v>61.32861476</v>
      </c>
      <c r="N990" s="7">
        <f t="shared" si="8"/>
        <v>-0.08152801134</v>
      </c>
      <c r="O990" s="2" t="str">
        <f t="shared" si="9"/>
        <v>Acceptable</v>
      </c>
    </row>
    <row r="991" ht="15.75" customHeight="1">
      <c r="A991" s="1" t="s">
        <v>112</v>
      </c>
      <c r="B991" s="1" t="s">
        <v>105</v>
      </c>
      <c r="C991" s="1" t="s">
        <v>22</v>
      </c>
      <c r="D991" s="1">
        <v>167.0</v>
      </c>
      <c r="E991" s="1">
        <v>132.0</v>
      </c>
      <c r="F991" s="1">
        <f t="shared" si="2"/>
        <v>-35</v>
      </c>
      <c r="G991" s="1">
        <f t="shared" si="3"/>
        <v>35</v>
      </c>
      <c r="H991" s="6">
        <f t="shared" si="4"/>
        <v>0.2095808383</v>
      </c>
      <c r="I991" s="6">
        <f t="shared" si="5"/>
        <v>0.7904191617</v>
      </c>
      <c r="J991" s="1">
        <f t="shared" si="6"/>
        <v>-35</v>
      </c>
      <c r="K991" s="1" t="str">
        <f t="shared" si="7"/>
        <v>Under Forecast</v>
      </c>
      <c r="L991" s="1">
        <f>F991+J990</f>
        <v>-40</v>
      </c>
      <c r="M991" s="7">
        <f t="shared" si="10"/>
        <v>61.3020202</v>
      </c>
      <c r="N991" s="7">
        <f t="shared" si="8"/>
        <v>-0.6525070441</v>
      </c>
      <c r="O991" s="2" t="str">
        <f t="shared" si="9"/>
        <v>Acceptable</v>
      </c>
    </row>
    <row r="992" ht="15.75" customHeight="1">
      <c r="A992" s="1" t="s">
        <v>112</v>
      </c>
      <c r="B992" s="1" t="s">
        <v>105</v>
      </c>
      <c r="C992" s="1" t="s">
        <v>23</v>
      </c>
      <c r="D992" s="1">
        <v>183.0</v>
      </c>
      <c r="E992" s="1">
        <v>210.0</v>
      </c>
      <c r="F992" s="1">
        <f t="shared" si="2"/>
        <v>27</v>
      </c>
      <c r="G992" s="1">
        <f t="shared" si="3"/>
        <v>27</v>
      </c>
      <c r="H992" s="6">
        <f t="shared" si="4"/>
        <v>0.1475409836</v>
      </c>
      <c r="I992" s="6">
        <f t="shared" si="5"/>
        <v>0.8524590164</v>
      </c>
      <c r="J992" s="1">
        <f t="shared" si="6"/>
        <v>27</v>
      </c>
      <c r="K992" s="1" t="str">
        <f t="shared" si="7"/>
        <v>Over Forecast</v>
      </c>
      <c r="L992" s="1">
        <f>F992</f>
        <v>27</v>
      </c>
      <c r="M992" s="7">
        <f t="shared" si="10"/>
        <v>61.26740666</v>
      </c>
      <c r="N992" s="7">
        <f t="shared" si="8"/>
        <v>0.4406910864</v>
      </c>
      <c r="O992" s="2" t="str">
        <f t="shared" si="9"/>
        <v>Acceptable</v>
      </c>
    </row>
    <row r="993" ht="15.75" customHeight="1">
      <c r="A993" s="1" t="s">
        <v>112</v>
      </c>
      <c r="B993" s="1" t="s">
        <v>105</v>
      </c>
      <c r="C993" s="1" t="s">
        <v>24</v>
      </c>
      <c r="D993" s="1">
        <v>168.0</v>
      </c>
      <c r="E993" s="1">
        <v>207.0</v>
      </c>
      <c r="F993" s="1">
        <f t="shared" si="2"/>
        <v>39</v>
      </c>
      <c r="G993" s="1">
        <f t="shared" si="3"/>
        <v>39</v>
      </c>
      <c r="H993" s="6">
        <f t="shared" si="4"/>
        <v>0.2321428571</v>
      </c>
      <c r="I993" s="6">
        <f t="shared" si="5"/>
        <v>0.7678571429</v>
      </c>
      <c r="J993" s="1">
        <f t="shared" si="6"/>
        <v>39</v>
      </c>
      <c r="K993" s="1" t="str">
        <f t="shared" si="7"/>
        <v>Over Forecast</v>
      </c>
      <c r="L993" s="1">
        <f>F993+J992</f>
        <v>66</v>
      </c>
      <c r="M993" s="7">
        <f t="shared" si="10"/>
        <v>61.24495968</v>
      </c>
      <c r="N993" s="7">
        <f t="shared" si="8"/>
        <v>1.0776397</v>
      </c>
      <c r="O993" s="2" t="str">
        <f t="shared" si="9"/>
        <v>Acceptable</v>
      </c>
    </row>
    <row r="994" ht="15.75" customHeight="1">
      <c r="A994" s="1" t="s">
        <v>112</v>
      </c>
      <c r="B994" s="1" t="s">
        <v>105</v>
      </c>
      <c r="C994" s="1" t="s">
        <v>25</v>
      </c>
      <c r="D994" s="1">
        <v>160.0</v>
      </c>
      <c r="E994" s="1">
        <v>198.0</v>
      </c>
      <c r="F994" s="1">
        <f t="shared" si="2"/>
        <v>38</v>
      </c>
      <c r="G994" s="1">
        <f t="shared" si="3"/>
        <v>38</v>
      </c>
      <c r="H994" s="6">
        <f t="shared" si="4"/>
        <v>0.2375</v>
      </c>
      <c r="I994" s="6">
        <f t="shared" si="5"/>
        <v>0.7625</v>
      </c>
      <c r="J994" s="1">
        <f t="shared" si="6"/>
        <v>38</v>
      </c>
      <c r="K994" s="1" t="str">
        <f t="shared" si="7"/>
        <v>Over Forecast</v>
      </c>
      <c r="L994" s="1">
        <f>F994</f>
        <v>38</v>
      </c>
      <c r="M994" s="7">
        <f t="shared" si="10"/>
        <v>61.22155086</v>
      </c>
      <c r="N994" s="7">
        <f t="shared" si="8"/>
        <v>0.6206964618</v>
      </c>
      <c r="O994" s="2" t="str">
        <f t="shared" si="9"/>
        <v>Acceptable</v>
      </c>
    </row>
    <row r="995" ht="15.75" customHeight="1">
      <c r="A995" s="1" t="s">
        <v>112</v>
      </c>
      <c r="B995" s="1" t="s">
        <v>105</v>
      </c>
      <c r="C995" s="1" t="s">
        <v>26</v>
      </c>
      <c r="D995" s="1">
        <v>169.0</v>
      </c>
      <c r="E995" s="1">
        <v>180.0</v>
      </c>
      <c r="F995" s="1">
        <f t="shared" si="2"/>
        <v>11</v>
      </c>
      <c r="G995" s="1">
        <f t="shared" si="3"/>
        <v>11</v>
      </c>
      <c r="H995" s="6">
        <f t="shared" si="4"/>
        <v>0.0650887574</v>
      </c>
      <c r="I995" s="6">
        <f t="shared" si="5"/>
        <v>0.9349112426</v>
      </c>
      <c r="J995" s="1">
        <f t="shared" si="6"/>
        <v>11</v>
      </c>
      <c r="K995" s="1" t="str">
        <f t="shared" si="7"/>
        <v>Over Forecast</v>
      </c>
      <c r="L995" s="1">
        <f>F995+J994</f>
        <v>49</v>
      </c>
      <c r="M995" s="7">
        <f t="shared" si="10"/>
        <v>61.17102616</v>
      </c>
      <c r="N995" s="7">
        <f t="shared" si="8"/>
        <v>0.8010328268</v>
      </c>
      <c r="O995" s="2" t="str">
        <f t="shared" si="9"/>
        <v>Acceptable</v>
      </c>
    </row>
    <row r="996" ht="15.75" customHeight="1">
      <c r="A996" s="1" t="s">
        <v>112</v>
      </c>
      <c r="B996" s="1" t="s">
        <v>105</v>
      </c>
      <c r="C996" s="1" t="s">
        <v>27</v>
      </c>
      <c r="D996" s="1">
        <v>153.0</v>
      </c>
      <c r="E996" s="1">
        <v>182.0</v>
      </c>
      <c r="F996" s="1">
        <f t="shared" si="2"/>
        <v>29</v>
      </c>
      <c r="G996" s="1">
        <f t="shared" si="3"/>
        <v>29</v>
      </c>
      <c r="H996" s="6">
        <f t="shared" si="4"/>
        <v>0.1895424837</v>
      </c>
      <c r="I996" s="6">
        <f t="shared" si="5"/>
        <v>0.8104575163</v>
      </c>
      <c r="J996" s="1">
        <f t="shared" si="6"/>
        <v>29</v>
      </c>
      <c r="K996" s="1" t="str">
        <f t="shared" si="7"/>
        <v>Over Forecast</v>
      </c>
      <c r="L996" s="1">
        <f>F996</f>
        <v>29</v>
      </c>
      <c r="M996" s="7">
        <f t="shared" si="10"/>
        <v>61.13869347</v>
      </c>
      <c r="N996" s="7">
        <f t="shared" si="8"/>
        <v>0.4743313662</v>
      </c>
      <c r="O996" s="2" t="str">
        <f t="shared" si="9"/>
        <v>Acceptable</v>
      </c>
    </row>
    <row r="997" ht="15.75" customHeight="1">
      <c r="A997" s="1" t="s">
        <v>112</v>
      </c>
      <c r="B997" s="1" t="s">
        <v>105</v>
      </c>
      <c r="C997" s="1" t="s">
        <v>28</v>
      </c>
      <c r="D997" s="1">
        <v>161.0</v>
      </c>
      <c r="E997" s="1">
        <v>133.0</v>
      </c>
      <c r="F997" s="1">
        <f t="shared" si="2"/>
        <v>-28</v>
      </c>
      <c r="G997" s="1">
        <f t="shared" si="3"/>
        <v>28</v>
      </c>
      <c r="H997" s="6">
        <f t="shared" si="4"/>
        <v>0.1739130435</v>
      </c>
      <c r="I997" s="6">
        <f t="shared" si="5"/>
        <v>0.8260869565</v>
      </c>
      <c r="J997" s="1">
        <f t="shared" si="6"/>
        <v>-28</v>
      </c>
      <c r="K997" s="1" t="str">
        <f t="shared" si="7"/>
        <v>Under Forecast</v>
      </c>
      <c r="L997" s="1">
        <f>F997+J996</f>
        <v>1</v>
      </c>
      <c r="M997" s="7">
        <f t="shared" si="10"/>
        <v>61.10542169</v>
      </c>
      <c r="N997" s="7">
        <f t="shared" si="8"/>
        <v>0.01636515995</v>
      </c>
      <c r="O997" s="2" t="str">
        <f t="shared" si="9"/>
        <v>Acceptable</v>
      </c>
    </row>
    <row r="998" ht="15.75" customHeight="1">
      <c r="A998" s="1" t="s">
        <v>113</v>
      </c>
      <c r="B998" s="1" t="s">
        <v>105</v>
      </c>
      <c r="C998" s="1" t="s">
        <v>17</v>
      </c>
      <c r="D998" s="1">
        <v>67.0</v>
      </c>
      <c r="E998" s="1">
        <v>47.0</v>
      </c>
      <c r="F998" s="1">
        <f t="shared" si="2"/>
        <v>-20</v>
      </c>
      <c r="G998" s="1">
        <f t="shared" si="3"/>
        <v>20</v>
      </c>
      <c r="H998" s="6">
        <f t="shared" si="4"/>
        <v>0.2985074627</v>
      </c>
      <c r="I998" s="6">
        <f t="shared" si="5"/>
        <v>0.7014925373</v>
      </c>
      <c r="J998" s="1">
        <f t="shared" si="6"/>
        <v>-20</v>
      </c>
      <c r="K998" s="1" t="str">
        <f t="shared" si="7"/>
        <v>Under Forecast</v>
      </c>
      <c r="L998" s="1">
        <f>F998</f>
        <v>-20</v>
      </c>
      <c r="M998" s="7">
        <f t="shared" si="10"/>
        <v>61.06419258</v>
      </c>
      <c r="N998" s="7">
        <f t="shared" si="8"/>
        <v>-0.3275241865</v>
      </c>
      <c r="O998" s="2" t="str">
        <f t="shared" si="9"/>
        <v>Acceptable</v>
      </c>
    </row>
    <row r="999" ht="15.75" customHeight="1">
      <c r="A999" s="1" t="s">
        <v>113</v>
      </c>
      <c r="B999" s="1" t="s">
        <v>105</v>
      </c>
      <c r="C999" s="1" t="s">
        <v>18</v>
      </c>
      <c r="D999" s="1">
        <v>82.0</v>
      </c>
      <c r="E999" s="1">
        <v>65.0</v>
      </c>
      <c r="F999" s="1">
        <f t="shared" si="2"/>
        <v>-17</v>
      </c>
      <c r="G999" s="1">
        <f t="shared" si="3"/>
        <v>17</v>
      </c>
      <c r="H999" s="6">
        <f t="shared" si="4"/>
        <v>0.2073170732</v>
      </c>
      <c r="I999" s="6">
        <f t="shared" si="5"/>
        <v>0.7926829268</v>
      </c>
      <c r="J999" s="1">
        <f t="shared" si="6"/>
        <v>-17</v>
      </c>
      <c r="K999" s="1" t="str">
        <f t="shared" si="7"/>
        <v>Under Forecast</v>
      </c>
      <c r="L999" s="1">
        <f>F999+J998</f>
        <v>-37</v>
      </c>
      <c r="M999" s="7">
        <f t="shared" si="10"/>
        <v>61.02004008</v>
      </c>
      <c r="N999" s="7">
        <f t="shared" si="8"/>
        <v>-0.6063581727</v>
      </c>
      <c r="O999" s="2" t="str">
        <f t="shared" si="9"/>
        <v>Acceptable</v>
      </c>
    </row>
    <row r="1000" ht="15.75" customHeight="1">
      <c r="A1000" s="1" t="s">
        <v>113</v>
      </c>
      <c r="B1000" s="1" t="s">
        <v>105</v>
      </c>
      <c r="C1000" s="1" t="s">
        <v>19</v>
      </c>
      <c r="D1000" s="1">
        <v>79.0</v>
      </c>
      <c r="E1000" s="1">
        <v>93.0</v>
      </c>
      <c r="F1000" s="1">
        <f t="shared" si="2"/>
        <v>14</v>
      </c>
      <c r="G1000" s="1">
        <f t="shared" si="3"/>
        <v>14</v>
      </c>
      <c r="H1000" s="6">
        <f t="shared" si="4"/>
        <v>0.1772151899</v>
      </c>
      <c r="I1000" s="6">
        <f t="shared" si="5"/>
        <v>0.8227848101</v>
      </c>
      <c r="J1000" s="1">
        <f t="shared" si="6"/>
        <v>14</v>
      </c>
      <c r="K1000" s="1" t="str">
        <f t="shared" si="7"/>
        <v>Over Forecast</v>
      </c>
      <c r="L1000" s="1">
        <f>F1000</f>
        <v>14</v>
      </c>
      <c r="M1000" s="7">
        <f t="shared" si="10"/>
        <v>60.97297297</v>
      </c>
      <c r="N1000" s="7">
        <f t="shared" si="8"/>
        <v>0.2296099291</v>
      </c>
      <c r="O1000" s="2" t="str">
        <f t="shared" si="9"/>
        <v>Acceptable</v>
      </c>
    </row>
    <row r="1001" ht="15.75" customHeight="1">
      <c r="A1001" s="1" t="s">
        <v>113</v>
      </c>
      <c r="B1001" s="1" t="s">
        <v>105</v>
      </c>
      <c r="C1001" s="1" t="s">
        <v>20</v>
      </c>
      <c r="D1001" s="1">
        <v>82.0</v>
      </c>
      <c r="E1001" s="1">
        <v>69.0</v>
      </c>
      <c r="F1001" s="1">
        <f t="shared" si="2"/>
        <v>-13</v>
      </c>
      <c r="G1001" s="1">
        <f t="shared" si="3"/>
        <v>13</v>
      </c>
      <c r="H1001" s="6">
        <f t="shared" si="4"/>
        <v>0.1585365854</v>
      </c>
      <c r="I1001" s="6">
        <f t="shared" si="5"/>
        <v>0.8414634146</v>
      </c>
      <c r="J1001" s="1">
        <f t="shared" si="6"/>
        <v>-13</v>
      </c>
      <c r="K1001" s="1" t="str">
        <f t="shared" si="7"/>
        <v>Under Forecast</v>
      </c>
      <c r="L1001" s="1">
        <f>F1001+J1000</f>
        <v>1</v>
      </c>
      <c r="M1001" s="7">
        <f t="shared" si="10"/>
        <v>60.925</v>
      </c>
      <c r="N1001" s="7">
        <f t="shared" si="8"/>
        <v>0.01641362331</v>
      </c>
      <c r="O1001" s="2" t="str">
        <f t="shared" si="9"/>
        <v>Acceptable</v>
      </c>
    </row>
    <row r="1002" ht="15.75" customHeight="1">
      <c r="A1002" s="1" t="s">
        <v>113</v>
      </c>
      <c r="B1002" s="1" t="s">
        <v>105</v>
      </c>
      <c r="C1002" s="1" t="s">
        <v>21</v>
      </c>
      <c r="D1002" s="1">
        <v>96.0</v>
      </c>
      <c r="E1002" s="1">
        <v>72.0</v>
      </c>
      <c r="F1002" s="1">
        <f t="shared" si="2"/>
        <v>-24</v>
      </c>
      <c r="G1002" s="1">
        <f t="shared" si="3"/>
        <v>24</v>
      </c>
      <c r="H1002" s="6">
        <f t="shared" si="4"/>
        <v>0.25</v>
      </c>
      <c r="I1002" s="6">
        <f t="shared" si="5"/>
        <v>0.75</v>
      </c>
      <c r="J1002" s="1">
        <f t="shared" si="6"/>
        <v>-24</v>
      </c>
      <c r="K1002" s="1" t="str">
        <f t="shared" si="7"/>
        <v>Under Forecast</v>
      </c>
      <c r="L1002" s="1">
        <f>F1002</f>
        <v>-24</v>
      </c>
      <c r="M1002" s="7">
        <f t="shared" si="10"/>
        <v>60.88811189</v>
      </c>
      <c r="N1002" s="7">
        <f t="shared" si="8"/>
        <v>-0.3941656139</v>
      </c>
      <c r="O1002" s="2" t="str">
        <f t="shared" si="9"/>
        <v>Acceptable</v>
      </c>
    </row>
    <row r="1003" ht="15.75" customHeight="1">
      <c r="A1003" s="1" t="s">
        <v>113</v>
      </c>
      <c r="B1003" s="1" t="s">
        <v>105</v>
      </c>
      <c r="C1003" s="1" t="s">
        <v>22</v>
      </c>
      <c r="D1003" s="1">
        <v>97.0</v>
      </c>
      <c r="E1003" s="1">
        <v>115.0</v>
      </c>
      <c r="F1003" s="1">
        <f t="shared" si="2"/>
        <v>18</v>
      </c>
      <c r="G1003" s="1">
        <f t="shared" si="3"/>
        <v>18</v>
      </c>
      <c r="H1003" s="6">
        <f t="shared" si="4"/>
        <v>0.1855670103</v>
      </c>
      <c r="I1003" s="6">
        <f t="shared" si="5"/>
        <v>0.8144329897</v>
      </c>
      <c r="J1003" s="1">
        <f t="shared" si="6"/>
        <v>18</v>
      </c>
      <c r="K1003" s="1" t="str">
        <f t="shared" si="7"/>
        <v>Over Forecast</v>
      </c>
      <c r="L1003" s="1">
        <f>F1003+J1002</f>
        <v>-6</v>
      </c>
      <c r="M1003" s="7">
        <f t="shared" si="10"/>
        <v>60.84530938</v>
      </c>
      <c r="N1003" s="7">
        <f t="shared" si="8"/>
        <v>-0.09861072383</v>
      </c>
      <c r="O1003" s="2" t="str">
        <f t="shared" si="9"/>
        <v>Acceptable</v>
      </c>
    </row>
    <row r="1004" ht="15.75" customHeight="1">
      <c r="A1004" s="1" t="s">
        <v>113</v>
      </c>
      <c r="B1004" s="1" t="s">
        <v>105</v>
      </c>
      <c r="C1004" s="1" t="s">
        <v>23</v>
      </c>
      <c r="D1004" s="1">
        <v>103.0</v>
      </c>
      <c r="E1004" s="1">
        <v>105.0</v>
      </c>
      <c r="F1004" s="1">
        <f t="shared" si="2"/>
        <v>2</v>
      </c>
      <c r="G1004" s="1">
        <f t="shared" si="3"/>
        <v>2</v>
      </c>
      <c r="H1004" s="6">
        <f t="shared" si="4"/>
        <v>0.01941747573</v>
      </c>
      <c r="I1004" s="6">
        <f t="shared" si="5"/>
        <v>0.9805825243</v>
      </c>
      <c r="J1004" s="1">
        <f t="shared" si="6"/>
        <v>2</v>
      </c>
      <c r="K1004" s="1" t="str">
        <f t="shared" si="7"/>
        <v>Over Forecast</v>
      </c>
      <c r="L1004" s="1">
        <f>F1004</f>
        <v>2</v>
      </c>
      <c r="M1004" s="7">
        <f t="shared" si="10"/>
        <v>60.78664008</v>
      </c>
      <c r="N1004" s="7">
        <f t="shared" si="8"/>
        <v>0.03290196657</v>
      </c>
      <c r="O1004" s="2" t="str">
        <f t="shared" si="9"/>
        <v>Acceptable</v>
      </c>
    </row>
    <row r="1005" ht="15.75" customHeight="1">
      <c r="A1005" s="1" t="s">
        <v>113</v>
      </c>
      <c r="B1005" s="1" t="s">
        <v>105</v>
      </c>
      <c r="C1005" s="1" t="s">
        <v>24</v>
      </c>
      <c r="D1005" s="1">
        <v>90.0</v>
      </c>
      <c r="E1005" s="1">
        <v>74.0</v>
      </c>
      <c r="F1005" s="1">
        <f t="shared" si="2"/>
        <v>-16</v>
      </c>
      <c r="G1005" s="1">
        <f t="shared" si="3"/>
        <v>16</v>
      </c>
      <c r="H1005" s="6">
        <f t="shared" si="4"/>
        <v>0.1777777778</v>
      </c>
      <c r="I1005" s="6">
        <f t="shared" si="5"/>
        <v>0.8222222222</v>
      </c>
      <c r="J1005" s="1">
        <f t="shared" si="6"/>
        <v>-16</v>
      </c>
      <c r="K1005" s="1" t="str">
        <f t="shared" si="7"/>
        <v>Under Forecast</v>
      </c>
      <c r="L1005" s="1">
        <f>F1005+J1004</f>
        <v>-14</v>
      </c>
      <c r="M1005" s="7">
        <f t="shared" si="10"/>
        <v>60.74203187</v>
      </c>
      <c r="N1005" s="7">
        <f t="shared" si="8"/>
        <v>-0.2304829056</v>
      </c>
      <c r="O1005" s="2" t="str">
        <f t="shared" si="9"/>
        <v>Acceptable</v>
      </c>
    </row>
    <row r="1006" ht="15.75" customHeight="1">
      <c r="A1006" s="1" t="s">
        <v>113</v>
      </c>
      <c r="B1006" s="1" t="s">
        <v>105</v>
      </c>
      <c r="C1006" s="1" t="s">
        <v>25</v>
      </c>
      <c r="D1006" s="1">
        <v>96.0</v>
      </c>
      <c r="E1006" s="1">
        <v>109.0</v>
      </c>
      <c r="F1006" s="1">
        <f t="shared" si="2"/>
        <v>13</v>
      </c>
      <c r="G1006" s="1">
        <f t="shared" si="3"/>
        <v>13</v>
      </c>
      <c r="H1006" s="6">
        <f t="shared" si="4"/>
        <v>0.1354166667</v>
      </c>
      <c r="I1006" s="6">
        <f t="shared" si="5"/>
        <v>0.8645833333</v>
      </c>
      <c r="J1006" s="1">
        <f t="shared" si="6"/>
        <v>13</v>
      </c>
      <c r="K1006" s="1" t="str">
        <f t="shared" si="7"/>
        <v>Over Forecast</v>
      </c>
      <c r="L1006" s="1">
        <f>F1006</f>
        <v>13</v>
      </c>
      <c r="M1006" s="7">
        <f t="shared" si="10"/>
        <v>60.69452736</v>
      </c>
      <c r="N1006" s="7">
        <f t="shared" si="8"/>
        <v>0.2141873504</v>
      </c>
      <c r="O1006" s="2" t="str">
        <f t="shared" si="9"/>
        <v>Acceptable</v>
      </c>
    </row>
    <row r="1007" ht="15.75" customHeight="1">
      <c r="A1007" s="1" t="s">
        <v>113</v>
      </c>
      <c r="B1007" s="1" t="s">
        <v>105</v>
      </c>
      <c r="C1007" s="1" t="s">
        <v>26</v>
      </c>
      <c r="D1007" s="1">
        <v>90.0</v>
      </c>
      <c r="E1007" s="1">
        <v>73.0</v>
      </c>
      <c r="F1007" s="1">
        <f t="shared" si="2"/>
        <v>-17</v>
      </c>
      <c r="G1007" s="1">
        <f t="shared" si="3"/>
        <v>17</v>
      </c>
      <c r="H1007" s="6">
        <f t="shared" si="4"/>
        <v>0.1888888889</v>
      </c>
      <c r="I1007" s="6">
        <f t="shared" si="5"/>
        <v>0.8111111111</v>
      </c>
      <c r="J1007" s="1">
        <f t="shared" si="6"/>
        <v>-17</v>
      </c>
      <c r="K1007" s="1" t="str">
        <f t="shared" si="7"/>
        <v>Under Forecast</v>
      </c>
      <c r="L1007" s="1">
        <f>F1007+J1006</f>
        <v>-4</v>
      </c>
      <c r="M1007" s="7">
        <f t="shared" si="10"/>
        <v>60.65109344</v>
      </c>
      <c r="N1007" s="7">
        <f t="shared" si="8"/>
        <v>-0.06595099566</v>
      </c>
      <c r="O1007" s="2" t="str">
        <f t="shared" si="9"/>
        <v>Acceptable</v>
      </c>
    </row>
    <row r="1008" ht="15.75" customHeight="1">
      <c r="A1008" s="1" t="s">
        <v>113</v>
      </c>
      <c r="B1008" s="1" t="s">
        <v>105</v>
      </c>
      <c r="C1008" s="1" t="s">
        <v>27</v>
      </c>
      <c r="D1008" s="1">
        <v>83.0</v>
      </c>
      <c r="E1008" s="1">
        <v>61.0</v>
      </c>
      <c r="F1008" s="1">
        <f t="shared" si="2"/>
        <v>-22</v>
      </c>
      <c r="G1008" s="1">
        <f t="shared" si="3"/>
        <v>22</v>
      </c>
      <c r="H1008" s="6">
        <f t="shared" si="4"/>
        <v>0.265060241</v>
      </c>
      <c r="I1008" s="6">
        <f t="shared" si="5"/>
        <v>0.734939759</v>
      </c>
      <c r="J1008" s="1">
        <f t="shared" si="6"/>
        <v>-22</v>
      </c>
      <c r="K1008" s="1" t="str">
        <f t="shared" si="7"/>
        <v>Under Forecast</v>
      </c>
      <c r="L1008" s="1">
        <f>F1008</f>
        <v>-22</v>
      </c>
      <c r="M1008" s="7">
        <f t="shared" si="10"/>
        <v>60.61271102</v>
      </c>
      <c r="N1008" s="7">
        <f t="shared" si="8"/>
        <v>-0.3629601717</v>
      </c>
      <c r="O1008" s="2" t="str">
        <f t="shared" si="9"/>
        <v>Acceptable</v>
      </c>
    </row>
    <row r="1009" ht="15.75" customHeight="1">
      <c r="A1009" s="1" t="s">
        <v>113</v>
      </c>
      <c r="B1009" s="1" t="s">
        <v>105</v>
      </c>
      <c r="C1009" s="1" t="s">
        <v>28</v>
      </c>
      <c r="D1009" s="1">
        <v>92.0</v>
      </c>
      <c r="E1009" s="1">
        <v>83.0</v>
      </c>
      <c r="F1009" s="1">
        <f t="shared" si="2"/>
        <v>-9</v>
      </c>
      <c r="G1009" s="1">
        <f t="shared" si="3"/>
        <v>9</v>
      </c>
      <c r="H1009" s="6">
        <f t="shared" si="4"/>
        <v>0.09782608696</v>
      </c>
      <c r="I1009" s="6">
        <f t="shared" si="5"/>
        <v>0.902173913</v>
      </c>
      <c r="J1009" s="1">
        <f t="shared" si="6"/>
        <v>-9</v>
      </c>
      <c r="K1009" s="1" t="str">
        <f t="shared" si="7"/>
        <v>Under Forecast</v>
      </c>
      <c r="L1009" s="1">
        <f>F1009+J1008</f>
        <v>-31</v>
      </c>
      <c r="M1009" s="7">
        <f t="shared" si="10"/>
        <v>60.56150794</v>
      </c>
      <c r="N1009" s="7">
        <f t="shared" si="8"/>
        <v>-0.51187629</v>
      </c>
      <c r="O1009" s="2" t="str">
        <f t="shared" si="9"/>
        <v>Acceptable</v>
      </c>
    </row>
    <row r="1010" ht="15.75" customHeight="1">
      <c r="A1010" s="1" t="s">
        <v>114</v>
      </c>
      <c r="B1010" s="1" t="s">
        <v>105</v>
      </c>
      <c r="C1010" s="1" t="s">
        <v>17</v>
      </c>
      <c r="D1010" s="1">
        <v>78.0</v>
      </c>
      <c r="E1010" s="1">
        <v>85.0</v>
      </c>
      <c r="F1010" s="1">
        <f t="shared" si="2"/>
        <v>7</v>
      </c>
      <c r="G1010" s="1">
        <f t="shared" si="3"/>
        <v>7</v>
      </c>
      <c r="H1010" s="6">
        <f t="shared" si="4"/>
        <v>0.08974358974</v>
      </c>
      <c r="I1010" s="6">
        <f t="shared" si="5"/>
        <v>0.9102564103</v>
      </c>
      <c r="J1010" s="1">
        <f t="shared" si="6"/>
        <v>7</v>
      </c>
      <c r="K1010" s="1" t="str">
        <f t="shared" si="7"/>
        <v>Over Forecast</v>
      </c>
      <c r="L1010" s="1">
        <f>F1010</f>
        <v>7</v>
      </c>
      <c r="M1010" s="7">
        <f t="shared" si="10"/>
        <v>60.50842418</v>
      </c>
      <c r="N1010" s="7">
        <f t="shared" si="8"/>
        <v>0.1156863709</v>
      </c>
      <c r="O1010" s="2" t="str">
        <f t="shared" si="9"/>
        <v>Acceptable</v>
      </c>
    </row>
    <row r="1011" ht="15.75" customHeight="1">
      <c r="A1011" s="1" t="s">
        <v>114</v>
      </c>
      <c r="B1011" s="1" t="s">
        <v>105</v>
      </c>
      <c r="C1011" s="1" t="s">
        <v>18</v>
      </c>
      <c r="D1011" s="1">
        <v>84.0</v>
      </c>
      <c r="E1011" s="1">
        <v>86.0</v>
      </c>
      <c r="F1011" s="1">
        <f t="shared" si="2"/>
        <v>2</v>
      </c>
      <c r="G1011" s="1">
        <f t="shared" si="3"/>
        <v>2</v>
      </c>
      <c r="H1011" s="6">
        <f t="shared" si="4"/>
        <v>0.02380952381</v>
      </c>
      <c r="I1011" s="6">
        <f t="shared" si="5"/>
        <v>0.9761904762</v>
      </c>
      <c r="J1011" s="1">
        <f t="shared" si="6"/>
        <v>2</v>
      </c>
      <c r="K1011" s="1" t="str">
        <f t="shared" si="7"/>
        <v>Over Forecast</v>
      </c>
      <c r="L1011" s="1">
        <f>F1011+J1010</f>
        <v>9</v>
      </c>
      <c r="M1011" s="7">
        <f t="shared" si="10"/>
        <v>60.45049505</v>
      </c>
      <c r="N1011" s="7">
        <f t="shared" si="8"/>
        <v>0.1488821554</v>
      </c>
      <c r="O1011" s="2" t="str">
        <f t="shared" si="9"/>
        <v>Acceptable</v>
      </c>
    </row>
    <row r="1012" ht="15.75" customHeight="1">
      <c r="A1012" s="1" t="s">
        <v>114</v>
      </c>
      <c r="B1012" s="1" t="s">
        <v>105</v>
      </c>
      <c r="C1012" s="1" t="s">
        <v>19</v>
      </c>
      <c r="D1012" s="1">
        <v>83.0</v>
      </c>
      <c r="E1012" s="1">
        <v>94.0</v>
      </c>
      <c r="F1012" s="1">
        <f t="shared" si="2"/>
        <v>11</v>
      </c>
      <c r="G1012" s="1">
        <f t="shared" si="3"/>
        <v>11</v>
      </c>
      <c r="H1012" s="6">
        <f t="shared" si="4"/>
        <v>0.1325301205</v>
      </c>
      <c r="I1012" s="6">
        <f t="shared" si="5"/>
        <v>0.8674698795</v>
      </c>
      <c r="J1012" s="1">
        <f t="shared" si="6"/>
        <v>11</v>
      </c>
      <c r="K1012" s="1" t="str">
        <f t="shared" si="7"/>
        <v>Over Forecast</v>
      </c>
      <c r="L1012" s="1">
        <f>F1012</f>
        <v>11</v>
      </c>
      <c r="M1012" s="7">
        <f t="shared" si="10"/>
        <v>60.40158259</v>
      </c>
      <c r="N1012" s="7">
        <f t="shared" si="8"/>
        <v>0.1821144336</v>
      </c>
      <c r="O1012" s="2" t="str">
        <f t="shared" si="9"/>
        <v>Acceptable</v>
      </c>
    </row>
    <row r="1013" ht="15.75" customHeight="1">
      <c r="A1013" s="1" t="s">
        <v>114</v>
      </c>
      <c r="B1013" s="1" t="s">
        <v>105</v>
      </c>
      <c r="C1013" s="1" t="s">
        <v>20</v>
      </c>
      <c r="D1013" s="1">
        <v>88.0</v>
      </c>
      <c r="E1013" s="1">
        <v>106.0</v>
      </c>
      <c r="F1013" s="1">
        <f t="shared" si="2"/>
        <v>18</v>
      </c>
      <c r="G1013" s="1">
        <f t="shared" si="3"/>
        <v>18</v>
      </c>
      <c r="H1013" s="6">
        <f t="shared" si="4"/>
        <v>0.2045454545</v>
      </c>
      <c r="I1013" s="6">
        <f t="shared" si="5"/>
        <v>0.7954545455</v>
      </c>
      <c r="J1013" s="1">
        <f t="shared" si="6"/>
        <v>18</v>
      </c>
      <c r="K1013" s="1" t="str">
        <f t="shared" si="7"/>
        <v>Over Forecast</v>
      </c>
      <c r="L1013" s="1">
        <f>F1013+J1012</f>
        <v>29</v>
      </c>
      <c r="M1013" s="7">
        <f t="shared" si="10"/>
        <v>60.35968379</v>
      </c>
      <c r="N1013" s="7">
        <f t="shared" si="8"/>
        <v>0.4804531465</v>
      </c>
      <c r="O1013" s="2" t="str">
        <f t="shared" si="9"/>
        <v>Acceptable</v>
      </c>
    </row>
    <row r="1014" ht="15.75" customHeight="1">
      <c r="A1014" s="1" t="s">
        <v>114</v>
      </c>
      <c r="B1014" s="1" t="s">
        <v>105</v>
      </c>
      <c r="C1014" s="1" t="s">
        <v>21</v>
      </c>
      <c r="D1014" s="1">
        <v>93.0</v>
      </c>
      <c r="E1014" s="1">
        <v>72.0</v>
      </c>
      <c r="F1014" s="1">
        <f t="shared" si="2"/>
        <v>-21</v>
      </c>
      <c r="G1014" s="1">
        <f t="shared" si="3"/>
        <v>21</v>
      </c>
      <c r="H1014" s="6">
        <f t="shared" si="4"/>
        <v>0.2258064516</v>
      </c>
      <c r="I1014" s="6">
        <f t="shared" si="5"/>
        <v>0.7741935484</v>
      </c>
      <c r="J1014" s="1">
        <f t="shared" si="6"/>
        <v>-21</v>
      </c>
      <c r="K1014" s="1" t="str">
        <f t="shared" si="7"/>
        <v>Under Forecast</v>
      </c>
      <c r="L1014" s="1">
        <f>F1014</f>
        <v>-21</v>
      </c>
      <c r="M1014" s="7">
        <f t="shared" si="10"/>
        <v>60.32082922</v>
      </c>
      <c r="N1014" s="7">
        <f t="shared" si="8"/>
        <v>-0.3481384502</v>
      </c>
      <c r="O1014" s="2" t="str">
        <f t="shared" si="9"/>
        <v>Acceptable</v>
      </c>
    </row>
    <row r="1015" ht="15.75" customHeight="1">
      <c r="A1015" s="1" t="s">
        <v>114</v>
      </c>
      <c r="B1015" s="1" t="s">
        <v>105</v>
      </c>
      <c r="C1015" s="1" t="s">
        <v>22</v>
      </c>
      <c r="D1015" s="1">
        <v>96.0</v>
      </c>
      <c r="E1015" s="1">
        <v>84.0</v>
      </c>
      <c r="F1015" s="1">
        <f t="shared" si="2"/>
        <v>-12</v>
      </c>
      <c r="G1015" s="1">
        <f t="shared" si="3"/>
        <v>12</v>
      </c>
      <c r="H1015" s="6">
        <f t="shared" si="4"/>
        <v>0.125</v>
      </c>
      <c r="I1015" s="6">
        <f t="shared" si="5"/>
        <v>0.875</v>
      </c>
      <c r="J1015" s="1">
        <f t="shared" si="6"/>
        <v>-12</v>
      </c>
      <c r="K1015" s="1" t="str">
        <f t="shared" si="7"/>
        <v>Under Forecast</v>
      </c>
      <c r="L1015" s="1">
        <f>F1015+J1014</f>
        <v>-33</v>
      </c>
      <c r="M1015" s="7">
        <f t="shared" si="10"/>
        <v>60.27317554</v>
      </c>
      <c r="N1015" s="7">
        <f t="shared" si="8"/>
        <v>-0.5475072402</v>
      </c>
      <c r="O1015" s="2" t="str">
        <f t="shared" si="9"/>
        <v>Acceptable</v>
      </c>
    </row>
    <row r="1016" ht="15.75" customHeight="1">
      <c r="A1016" s="1" t="s">
        <v>114</v>
      </c>
      <c r="B1016" s="1" t="s">
        <v>105</v>
      </c>
      <c r="C1016" s="1" t="s">
        <v>23</v>
      </c>
      <c r="D1016" s="1">
        <v>99.0</v>
      </c>
      <c r="E1016" s="1">
        <v>74.0</v>
      </c>
      <c r="F1016" s="1">
        <f t="shared" si="2"/>
        <v>-25</v>
      </c>
      <c r="G1016" s="1">
        <f t="shared" si="3"/>
        <v>25</v>
      </c>
      <c r="H1016" s="6">
        <f t="shared" si="4"/>
        <v>0.2525252525</v>
      </c>
      <c r="I1016" s="6">
        <f t="shared" si="5"/>
        <v>0.7474747475</v>
      </c>
      <c r="J1016" s="1">
        <f t="shared" si="6"/>
        <v>-25</v>
      </c>
      <c r="K1016" s="1" t="str">
        <f t="shared" si="7"/>
        <v>Under Forecast</v>
      </c>
      <c r="L1016" s="1">
        <f>F1016</f>
        <v>-25</v>
      </c>
      <c r="M1016" s="7">
        <f t="shared" si="10"/>
        <v>60.23842365</v>
      </c>
      <c r="N1016" s="7">
        <f t="shared" si="8"/>
        <v>-0.4150175002</v>
      </c>
      <c r="O1016" s="2" t="str">
        <f t="shared" si="9"/>
        <v>Acceptable</v>
      </c>
    </row>
    <row r="1017" ht="15.75" customHeight="1">
      <c r="A1017" s="1" t="s">
        <v>114</v>
      </c>
      <c r="B1017" s="1" t="s">
        <v>105</v>
      </c>
      <c r="C1017" s="1" t="s">
        <v>24</v>
      </c>
      <c r="D1017" s="1">
        <v>86.0</v>
      </c>
      <c r="E1017" s="1">
        <v>98.0</v>
      </c>
      <c r="F1017" s="1">
        <f t="shared" si="2"/>
        <v>12</v>
      </c>
      <c r="G1017" s="1">
        <f t="shared" si="3"/>
        <v>12</v>
      </c>
      <c r="H1017" s="6">
        <f t="shared" si="4"/>
        <v>0.1395348837</v>
      </c>
      <c r="I1017" s="6">
        <f t="shared" si="5"/>
        <v>0.8604651163</v>
      </c>
      <c r="J1017" s="1">
        <f t="shared" si="6"/>
        <v>12</v>
      </c>
      <c r="K1017" s="1" t="str">
        <f t="shared" si="7"/>
        <v>Over Forecast</v>
      </c>
      <c r="L1017" s="1">
        <f>F1017+J1016</f>
        <v>-13</v>
      </c>
      <c r="M1017" s="7">
        <f t="shared" si="10"/>
        <v>60.19094488</v>
      </c>
      <c r="N1017" s="7">
        <f t="shared" si="8"/>
        <v>-0.2159793309</v>
      </c>
      <c r="O1017" s="2" t="str">
        <f t="shared" si="9"/>
        <v>Acceptable</v>
      </c>
    </row>
    <row r="1018" ht="15.75" customHeight="1">
      <c r="A1018" s="1" t="s">
        <v>114</v>
      </c>
      <c r="B1018" s="1" t="s">
        <v>105</v>
      </c>
      <c r="C1018" s="1" t="s">
        <v>25</v>
      </c>
      <c r="D1018" s="1">
        <v>82.0</v>
      </c>
      <c r="E1018" s="1">
        <v>93.0</v>
      </c>
      <c r="F1018" s="1">
        <f t="shared" si="2"/>
        <v>11</v>
      </c>
      <c r="G1018" s="1">
        <f t="shared" si="3"/>
        <v>11</v>
      </c>
      <c r="H1018" s="6">
        <f t="shared" si="4"/>
        <v>0.1341463415</v>
      </c>
      <c r="I1018" s="6">
        <f t="shared" si="5"/>
        <v>0.8658536585</v>
      </c>
      <c r="J1018" s="1">
        <f t="shared" si="6"/>
        <v>11</v>
      </c>
      <c r="K1018" s="1" t="str">
        <f t="shared" si="7"/>
        <v>Over Forecast</v>
      </c>
      <c r="L1018" s="1">
        <f>F1018</f>
        <v>11</v>
      </c>
      <c r="M1018" s="7">
        <f t="shared" si="10"/>
        <v>60.1425762</v>
      </c>
      <c r="N1018" s="7">
        <f t="shared" si="8"/>
        <v>0.1828987166</v>
      </c>
      <c r="O1018" s="2" t="str">
        <f t="shared" si="9"/>
        <v>Acceptable</v>
      </c>
    </row>
    <row r="1019" ht="15.75" customHeight="1">
      <c r="A1019" s="1" t="s">
        <v>114</v>
      </c>
      <c r="B1019" s="1" t="s">
        <v>105</v>
      </c>
      <c r="C1019" s="1" t="s">
        <v>26</v>
      </c>
      <c r="D1019" s="1">
        <v>82.0</v>
      </c>
      <c r="E1019" s="1">
        <v>85.0</v>
      </c>
      <c r="F1019" s="1">
        <f t="shared" si="2"/>
        <v>3</v>
      </c>
      <c r="G1019" s="1">
        <f t="shared" si="3"/>
        <v>3</v>
      </c>
      <c r="H1019" s="6">
        <f t="shared" si="4"/>
        <v>0.03658536585</v>
      </c>
      <c r="I1019" s="6">
        <f t="shared" si="5"/>
        <v>0.9634146341</v>
      </c>
      <c r="J1019" s="1">
        <f t="shared" si="6"/>
        <v>3</v>
      </c>
      <c r="K1019" s="1" t="str">
        <f t="shared" si="7"/>
        <v>Over Forecast</v>
      </c>
      <c r="L1019" s="1">
        <f>F1019+J1018</f>
        <v>14</v>
      </c>
      <c r="M1019" s="7">
        <f t="shared" si="10"/>
        <v>60.08644401</v>
      </c>
      <c r="N1019" s="7">
        <f t="shared" si="8"/>
        <v>0.2329976458</v>
      </c>
      <c r="O1019" s="2" t="str">
        <f t="shared" si="9"/>
        <v>Acceptable</v>
      </c>
    </row>
    <row r="1020" ht="15.75" customHeight="1">
      <c r="A1020" s="1" t="s">
        <v>114</v>
      </c>
      <c r="B1020" s="1" t="s">
        <v>105</v>
      </c>
      <c r="C1020" s="1" t="s">
        <v>27</v>
      </c>
      <c r="D1020" s="1">
        <v>88.0</v>
      </c>
      <c r="E1020" s="1">
        <v>85.0</v>
      </c>
      <c r="F1020" s="1">
        <f t="shared" si="2"/>
        <v>-3</v>
      </c>
      <c r="G1020" s="1">
        <f t="shared" si="3"/>
        <v>3</v>
      </c>
      <c r="H1020" s="6">
        <f t="shared" si="4"/>
        <v>0.03409090909</v>
      </c>
      <c r="I1020" s="6">
        <f t="shared" si="5"/>
        <v>0.9659090909</v>
      </c>
      <c r="J1020" s="1">
        <f t="shared" si="6"/>
        <v>-3</v>
      </c>
      <c r="K1020" s="1" t="str">
        <f t="shared" si="7"/>
        <v>Under Forecast</v>
      </c>
      <c r="L1020" s="1">
        <f>F1020</f>
        <v>-3</v>
      </c>
      <c r="M1020" s="7">
        <f t="shared" si="10"/>
        <v>60.03042198</v>
      </c>
      <c r="N1020" s="7">
        <f t="shared" si="8"/>
        <v>-0.0499746612</v>
      </c>
      <c r="O1020" s="2" t="str">
        <f t="shared" si="9"/>
        <v>Acceptable</v>
      </c>
    </row>
    <row r="1021" ht="15.75" customHeight="1">
      <c r="A1021" s="1" t="s">
        <v>114</v>
      </c>
      <c r="B1021" s="1" t="s">
        <v>105</v>
      </c>
      <c r="C1021" s="1" t="s">
        <v>28</v>
      </c>
      <c r="D1021" s="1">
        <v>79.0</v>
      </c>
      <c r="E1021" s="1">
        <v>65.0</v>
      </c>
      <c r="F1021" s="1">
        <f t="shared" si="2"/>
        <v>-14</v>
      </c>
      <c r="G1021" s="1">
        <f t="shared" si="3"/>
        <v>14</v>
      </c>
      <c r="H1021" s="6">
        <f t="shared" si="4"/>
        <v>0.1772151899</v>
      </c>
      <c r="I1021" s="6">
        <f t="shared" si="5"/>
        <v>0.8227848101</v>
      </c>
      <c r="J1021" s="1">
        <f t="shared" si="6"/>
        <v>-14</v>
      </c>
      <c r="K1021" s="1" t="str">
        <f t="shared" si="7"/>
        <v>Under Forecast</v>
      </c>
      <c r="L1021" s="1">
        <f>F1021+J1020</f>
        <v>-17</v>
      </c>
      <c r="M1021" s="7">
        <f t="shared" si="10"/>
        <v>59.98529412</v>
      </c>
      <c r="N1021" s="7">
        <f t="shared" si="8"/>
        <v>-0.2834027948</v>
      </c>
      <c r="O1021" s="2" t="str">
        <f t="shared" si="9"/>
        <v>Acceptable</v>
      </c>
    </row>
    <row r="1022" ht="15.75" customHeight="1">
      <c r="A1022" s="1" t="s">
        <v>115</v>
      </c>
      <c r="B1022" s="1" t="s">
        <v>105</v>
      </c>
      <c r="C1022" s="1" t="s">
        <v>17</v>
      </c>
      <c r="D1022" s="1">
        <v>262.0</v>
      </c>
      <c r="E1022" s="1">
        <v>282.0</v>
      </c>
      <c r="F1022" s="1">
        <f t="shared" si="2"/>
        <v>20</v>
      </c>
      <c r="G1022" s="1">
        <f t="shared" si="3"/>
        <v>20</v>
      </c>
      <c r="H1022" s="6">
        <f t="shared" si="4"/>
        <v>0.07633587786</v>
      </c>
      <c r="I1022" s="6">
        <f t="shared" si="5"/>
        <v>0.9236641221</v>
      </c>
      <c r="J1022" s="1">
        <f t="shared" si="6"/>
        <v>20</v>
      </c>
      <c r="K1022" s="1" t="str">
        <f t="shared" si="7"/>
        <v>Over Forecast</v>
      </c>
      <c r="L1022" s="1">
        <f>F1022</f>
        <v>20</v>
      </c>
      <c r="M1022" s="7">
        <f t="shared" si="10"/>
        <v>59.94613124</v>
      </c>
      <c r="N1022" s="7">
        <f t="shared" si="8"/>
        <v>0.3336328731</v>
      </c>
      <c r="O1022" s="2" t="str">
        <f t="shared" si="9"/>
        <v>Acceptable</v>
      </c>
    </row>
    <row r="1023" ht="15.75" customHeight="1">
      <c r="A1023" s="1" t="s">
        <v>115</v>
      </c>
      <c r="B1023" s="1" t="s">
        <v>105</v>
      </c>
      <c r="C1023" s="1" t="s">
        <v>18</v>
      </c>
      <c r="D1023" s="1">
        <v>304.0</v>
      </c>
      <c r="E1023" s="1">
        <v>248.0</v>
      </c>
      <c r="F1023" s="1">
        <f t="shared" si="2"/>
        <v>-56</v>
      </c>
      <c r="G1023" s="1">
        <f t="shared" si="3"/>
        <v>56</v>
      </c>
      <c r="H1023" s="6">
        <f t="shared" si="4"/>
        <v>0.1842105263</v>
      </c>
      <c r="I1023" s="6">
        <f t="shared" si="5"/>
        <v>0.8157894737</v>
      </c>
      <c r="J1023" s="1">
        <f t="shared" si="6"/>
        <v>-56</v>
      </c>
      <c r="K1023" s="1" t="str">
        <f t="shared" si="7"/>
        <v>Under Forecast</v>
      </c>
      <c r="L1023" s="1">
        <f>F1023+J1022</f>
        <v>-36</v>
      </c>
      <c r="M1023" s="7">
        <f t="shared" si="10"/>
        <v>59.94227006</v>
      </c>
      <c r="N1023" s="7">
        <f t="shared" si="8"/>
        <v>-0.6005778554</v>
      </c>
      <c r="O1023" s="2" t="str">
        <f t="shared" si="9"/>
        <v>Acceptable</v>
      </c>
    </row>
    <row r="1024" ht="15.75" customHeight="1">
      <c r="A1024" s="1" t="s">
        <v>115</v>
      </c>
      <c r="B1024" s="1" t="s">
        <v>105</v>
      </c>
      <c r="C1024" s="1" t="s">
        <v>19</v>
      </c>
      <c r="D1024" s="1">
        <v>317.0</v>
      </c>
      <c r="E1024" s="1">
        <v>231.0</v>
      </c>
      <c r="F1024" s="1">
        <f t="shared" si="2"/>
        <v>-86</v>
      </c>
      <c r="G1024" s="1">
        <f t="shared" si="3"/>
        <v>86</v>
      </c>
      <c r="H1024" s="6">
        <f t="shared" si="4"/>
        <v>0.2712933754</v>
      </c>
      <c r="I1024" s="6">
        <f t="shared" si="5"/>
        <v>0.7287066246</v>
      </c>
      <c r="J1024" s="1">
        <f t="shared" si="6"/>
        <v>-86</v>
      </c>
      <c r="K1024" s="1" t="str">
        <f t="shared" si="7"/>
        <v>Under Forecast</v>
      </c>
      <c r="L1024" s="1">
        <f>F1024</f>
        <v>-86</v>
      </c>
      <c r="M1024" s="7">
        <f t="shared" si="10"/>
        <v>59.96774194</v>
      </c>
      <c r="N1024" s="7">
        <f t="shared" si="8"/>
        <v>-1.434104357</v>
      </c>
      <c r="O1024" s="2" t="str">
        <f t="shared" si="9"/>
        <v>Acceptable</v>
      </c>
    </row>
    <row r="1025" ht="15.75" customHeight="1">
      <c r="A1025" s="1" t="s">
        <v>115</v>
      </c>
      <c r="B1025" s="1" t="s">
        <v>105</v>
      </c>
      <c r="C1025" s="1" t="s">
        <v>20</v>
      </c>
      <c r="D1025" s="1">
        <v>339.0</v>
      </c>
      <c r="E1025" s="1">
        <v>347.0</v>
      </c>
      <c r="F1025" s="1">
        <f t="shared" si="2"/>
        <v>8</v>
      </c>
      <c r="G1025" s="1">
        <f t="shared" si="3"/>
        <v>8</v>
      </c>
      <c r="H1025" s="6">
        <f t="shared" si="4"/>
        <v>0.02359882006</v>
      </c>
      <c r="I1025" s="6">
        <f t="shared" si="5"/>
        <v>0.9764011799</v>
      </c>
      <c r="J1025" s="1">
        <f t="shared" si="6"/>
        <v>8</v>
      </c>
      <c r="K1025" s="1" t="str">
        <f t="shared" si="7"/>
        <v>Over Forecast</v>
      </c>
      <c r="L1025" s="1">
        <f>F1025+J1024</f>
        <v>-78</v>
      </c>
      <c r="M1025" s="7">
        <f t="shared" si="10"/>
        <v>59.91699219</v>
      </c>
      <c r="N1025" s="7">
        <f t="shared" si="8"/>
        <v>-1.301800994</v>
      </c>
      <c r="O1025" s="2" t="str">
        <f t="shared" si="9"/>
        <v>Acceptable</v>
      </c>
    </row>
    <row r="1026" ht="15.75" customHeight="1">
      <c r="A1026" s="1" t="s">
        <v>115</v>
      </c>
      <c r="B1026" s="1" t="s">
        <v>105</v>
      </c>
      <c r="C1026" s="1" t="s">
        <v>21</v>
      </c>
      <c r="D1026" s="1">
        <v>354.0</v>
      </c>
      <c r="E1026" s="1">
        <v>247.0</v>
      </c>
      <c r="F1026" s="1">
        <f t="shared" si="2"/>
        <v>-107</v>
      </c>
      <c r="G1026" s="1">
        <f t="shared" si="3"/>
        <v>107</v>
      </c>
      <c r="H1026" s="6">
        <f t="shared" si="4"/>
        <v>0.302259887</v>
      </c>
      <c r="I1026" s="6">
        <f t="shared" si="5"/>
        <v>0.697740113</v>
      </c>
      <c r="J1026" s="1">
        <f t="shared" si="6"/>
        <v>-107</v>
      </c>
      <c r="K1026" s="1" t="str">
        <f t="shared" si="7"/>
        <v>Under Forecast</v>
      </c>
      <c r="L1026" s="1">
        <f>F1026</f>
        <v>-107</v>
      </c>
      <c r="M1026" s="7">
        <f t="shared" si="10"/>
        <v>59.96292683</v>
      </c>
      <c r="N1026" s="7">
        <f t="shared" si="8"/>
        <v>-1.784435912</v>
      </c>
      <c r="O1026" s="2" t="str">
        <f t="shared" si="9"/>
        <v>Acceptable</v>
      </c>
    </row>
    <row r="1027" ht="15.75" customHeight="1">
      <c r="A1027" s="1" t="s">
        <v>115</v>
      </c>
      <c r="B1027" s="1" t="s">
        <v>105</v>
      </c>
      <c r="C1027" s="1" t="s">
        <v>22</v>
      </c>
      <c r="D1027" s="1">
        <v>320.0</v>
      </c>
      <c r="E1027" s="1">
        <v>286.0</v>
      </c>
      <c r="F1027" s="1">
        <f t="shared" si="2"/>
        <v>-34</v>
      </c>
      <c r="G1027" s="1">
        <f t="shared" si="3"/>
        <v>34</v>
      </c>
      <c r="H1027" s="6">
        <f t="shared" si="4"/>
        <v>0.10625</v>
      </c>
      <c r="I1027" s="6">
        <f t="shared" si="5"/>
        <v>0.89375</v>
      </c>
      <c r="J1027" s="1">
        <f t="shared" si="6"/>
        <v>-34</v>
      </c>
      <c r="K1027" s="1" t="str">
        <f t="shared" si="7"/>
        <v>Under Forecast</v>
      </c>
      <c r="L1027" s="1">
        <f>F1027+J1026</f>
        <v>-141</v>
      </c>
      <c r="M1027" s="7">
        <f t="shared" si="10"/>
        <v>59.93762183</v>
      </c>
      <c r="N1027" s="7">
        <f t="shared" si="8"/>
        <v>-2.352445688</v>
      </c>
      <c r="O1027" s="2" t="str">
        <f t="shared" si="9"/>
        <v>Acceptable</v>
      </c>
    </row>
    <row r="1028" ht="15.75" customHeight="1">
      <c r="A1028" s="1" t="s">
        <v>115</v>
      </c>
      <c r="B1028" s="1" t="s">
        <v>105</v>
      </c>
      <c r="C1028" s="1" t="s">
        <v>23</v>
      </c>
      <c r="D1028" s="1">
        <v>347.0</v>
      </c>
      <c r="E1028" s="1">
        <v>282.0</v>
      </c>
      <c r="F1028" s="1">
        <f t="shared" si="2"/>
        <v>-65</v>
      </c>
      <c r="G1028" s="1">
        <f t="shared" si="3"/>
        <v>65</v>
      </c>
      <c r="H1028" s="6">
        <f t="shared" si="4"/>
        <v>0.1873198847</v>
      </c>
      <c r="I1028" s="6">
        <f t="shared" si="5"/>
        <v>0.8126801153</v>
      </c>
      <c r="J1028" s="1">
        <f t="shared" si="6"/>
        <v>-65</v>
      </c>
      <c r="K1028" s="1" t="str">
        <f t="shared" si="7"/>
        <v>Under Forecast</v>
      </c>
      <c r="L1028" s="1">
        <f>F1028</f>
        <v>-65</v>
      </c>
      <c r="M1028" s="7">
        <f t="shared" si="10"/>
        <v>59.94255112</v>
      </c>
      <c r="N1028" s="7">
        <f t="shared" si="8"/>
        <v>-1.084371599</v>
      </c>
      <c r="O1028" s="2" t="str">
        <f t="shared" si="9"/>
        <v>Acceptable</v>
      </c>
    </row>
    <row r="1029" ht="15.75" customHeight="1">
      <c r="A1029" s="1" t="s">
        <v>115</v>
      </c>
      <c r="B1029" s="1" t="s">
        <v>105</v>
      </c>
      <c r="C1029" s="1" t="s">
        <v>24</v>
      </c>
      <c r="D1029" s="1">
        <v>342.0</v>
      </c>
      <c r="E1029" s="1">
        <v>261.0</v>
      </c>
      <c r="F1029" s="1">
        <f t="shared" si="2"/>
        <v>-81</v>
      </c>
      <c r="G1029" s="1">
        <f t="shared" si="3"/>
        <v>81</v>
      </c>
      <c r="H1029" s="6">
        <f t="shared" si="4"/>
        <v>0.2368421053</v>
      </c>
      <c r="I1029" s="6">
        <f t="shared" si="5"/>
        <v>0.7631578947</v>
      </c>
      <c r="J1029" s="1">
        <f t="shared" si="6"/>
        <v>-81</v>
      </c>
      <c r="K1029" s="1" t="str">
        <f t="shared" si="7"/>
        <v>Under Forecast</v>
      </c>
      <c r="L1029" s="1">
        <f>F1029+J1028</f>
        <v>-146</v>
      </c>
      <c r="M1029" s="7">
        <f t="shared" si="10"/>
        <v>59.96303502</v>
      </c>
      <c r="N1029" s="7">
        <f t="shared" si="8"/>
        <v>-2.434833393</v>
      </c>
      <c r="O1029" s="2" t="str">
        <f t="shared" si="9"/>
        <v>Acceptable</v>
      </c>
    </row>
    <row r="1030" ht="15.75" customHeight="1">
      <c r="A1030" s="1" t="s">
        <v>115</v>
      </c>
      <c r="B1030" s="1" t="s">
        <v>105</v>
      </c>
      <c r="C1030" s="1" t="s">
        <v>25</v>
      </c>
      <c r="D1030" s="1">
        <v>332.0</v>
      </c>
      <c r="E1030" s="1">
        <v>365.0</v>
      </c>
      <c r="F1030" s="1">
        <f t="shared" si="2"/>
        <v>33</v>
      </c>
      <c r="G1030" s="1">
        <f t="shared" si="3"/>
        <v>33</v>
      </c>
      <c r="H1030" s="6">
        <f t="shared" si="4"/>
        <v>0.09939759036</v>
      </c>
      <c r="I1030" s="6">
        <f t="shared" si="5"/>
        <v>0.9006024096</v>
      </c>
      <c r="J1030" s="1">
        <f t="shared" si="6"/>
        <v>33</v>
      </c>
      <c r="K1030" s="1" t="str">
        <f t="shared" si="7"/>
        <v>Over Forecast</v>
      </c>
      <c r="L1030" s="1">
        <f>F1030</f>
        <v>33</v>
      </c>
      <c r="M1030" s="7">
        <f t="shared" si="10"/>
        <v>59.93683188</v>
      </c>
      <c r="N1030" s="7">
        <f t="shared" si="8"/>
        <v>0.5505796514</v>
      </c>
      <c r="O1030" s="2" t="str">
        <f t="shared" si="9"/>
        <v>Acceptable</v>
      </c>
    </row>
    <row r="1031" ht="15.75" customHeight="1">
      <c r="A1031" s="1" t="s">
        <v>115</v>
      </c>
      <c r="B1031" s="1" t="s">
        <v>105</v>
      </c>
      <c r="C1031" s="1" t="s">
        <v>26</v>
      </c>
      <c r="D1031" s="1">
        <v>336.0</v>
      </c>
      <c r="E1031" s="1">
        <v>238.0</v>
      </c>
      <c r="F1031" s="1">
        <f t="shared" si="2"/>
        <v>-98</v>
      </c>
      <c r="G1031" s="1">
        <f t="shared" si="3"/>
        <v>98</v>
      </c>
      <c r="H1031" s="6">
        <f t="shared" si="4"/>
        <v>0.2916666667</v>
      </c>
      <c r="I1031" s="6">
        <f t="shared" si="5"/>
        <v>0.7083333333</v>
      </c>
      <c r="J1031" s="1">
        <f t="shared" si="6"/>
        <v>-98</v>
      </c>
      <c r="K1031" s="1" t="str">
        <f t="shared" si="7"/>
        <v>Under Forecast</v>
      </c>
      <c r="L1031" s="1">
        <f>F1031+J1030</f>
        <v>-65</v>
      </c>
      <c r="M1031" s="7">
        <f t="shared" si="10"/>
        <v>59.97378641</v>
      </c>
      <c r="N1031" s="7">
        <f t="shared" si="8"/>
        <v>-1.083806841</v>
      </c>
      <c r="O1031" s="2" t="str">
        <f t="shared" si="9"/>
        <v>Acceptable</v>
      </c>
    </row>
    <row r="1032" ht="15.75" customHeight="1">
      <c r="A1032" s="1" t="s">
        <v>115</v>
      </c>
      <c r="B1032" s="1" t="s">
        <v>105</v>
      </c>
      <c r="C1032" s="1" t="s">
        <v>27</v>
      </c>
      <c r="D1032" s="1">
        <v>332.0</v>
      </c>
      <c r="E1032" s="1">
        <v>236.0</v>
      </c>
      <c r="F1032" s="1">
        <f t="shared" si="2"/>
        <v>-96</v>
      </c>
      <c r="G1032" s="1">
        <f t="shared" si="3"/>
        <v>96</v>
      </c>
      <c r="H1032" s="6">
        <f t="shared" si="4"/>
        <v>0.2891566265</v>
      </c>
      <c r="I1032" s="6">
        <f t="shared" si="5"/>
        <v>0.7108433735</v>
      </c>
      <c r="J1032" s="1">
        <f t="shared" si="6"/>
        <v>-96</v>
      </c>
      <c r="K1032" s="1" t="str">
        <f t="shared" si="7"/>
        <v>Under Forecast</v>
      </c>
      <c r="L1032" s="1">
        <f>F1032</f>
        <v>-96</v>
      </c>
      <c r="M1032" s="7">
        <f t="shared" si="10"/>
        <v>60.00872939</v>
      </c>
      <c r="N1032" s="7">
        <f t="shared" si="8"/>
        <v>-1.59976725</v>
      </c>
      <c r="O1032" s="2" t="str">
        <f t="shared" si="9"/>
        <v>Acceptable</v>
      </c>
    </row>
    <row r="1033" ht="15.75" customHeight="1">
      <c r="A1033" s="1" t="s">
        <v>115</v>
      </c>
      <c r="B1033" s="1" t="s">
        <v>105</v>
      </c>
      <c r="C1033" s="1" t="s">
        <v>28</v>
      </c>
      <c r="D1033" s="1">
        <v>365.0</v>
      </c>
      <c r="E1033" s="1">
        <v>278.0</v>
      </c>
      <c r="F1033" s="1">
        <f t="shared" si="2"/>
        <v>-87</v>
      </c>
      <c r="G1033" s="1">
        <f t="shared" si="3"/>
        <v>87</v>
      </c>
      <c r="H1033" s="6">
        <f t="shared" si="4"/>
        <v>0.2383561644</v>
      </c>
      <c r="I1033" s="6">
        <f t="shared" si="5"/>
        <v>0.7616438356</v>
      </c>
      <c r="J1033" s="1">
        <f t="shared" si="6"/>
        <v>-87</v>
      </c>
      <c r="K1033" s="1" t="str">
        <f t="shared" si="7"/>
        <v>Under Forecast</v>
      </c>
      <c r="L1033" s="1">
        <f>F1033+J1032</f>
        <v>-183</v>
      </c>
      <c r="M1033" s="7">
        <f t="shared" si="10"/>
        <v>60.03488372</v>
      </c>
      <c r="N1033" s="7">
        <f t="shared" si="8"/>
        <v>-3.048227775</v>
      </c>
      <c r="O1033" s="2" t="str">
        <f t="shared" si="9"/>
        <v>Acceptable</v>
      </c>
    </row>
    <row r="1034" ht="15.75" customHeight="1">
      <c r="A1034" s="1" t="s">
        <v>116</v>
      </c>
      <c r="B1034" s="1" t="s">
        <v>105</v>
      </c>
      <c r="C1034" s="1" t="s">
        <v>17</v>
      </c>
      <c r="D1034" s="1">
        <v>306.0</v>
      </c>
      <c r="E1034" s="1">
        <v>344.0</v>
      </c>
      <c r="F1034" s="1">
        <f t="shared" si="2"/>
        <v>38</v>
      </c>
      <c r="G1034" s="1">
        <f t="shared" si="3"/>
        <v>38</v>
      </c>
      <c r="H1034" s="6">
        <f t="shared" si="4"/>
        <v>0.1241830065</v>
      </c>
      <c r="I1034" s="6">
        <f t="shared" si="5"/>
        <v>0.8758169935</v>
      </c>
      <c r="J1034" s="1">
        <f t="shared" si="6"/>
        <v>38</v>
      </c>
      <c r="K1034" s="1" t="str">
        <f t="shared" si="7"/>
        <v>Over Forecast</v>
      </c>
      <c r="L1034" s="1">
        <f>F1034</f>
        <v>38</v>
      </c>
      <c r="M1034" s="7">
        <f t="shared" si="10"/>
        <v>60.01355276</v>
      </c>
      <c r="N1034" s="7">
        <f t="shared" si="8"/>
        <v>0.6331903087</v>
      </c>
      <c r="O1034" s="2" t="str">
        <f t="shared" si="9"/>
        <v>Acceptable</v>
      </c>
    </row>
    <row r="1035" ht="15.75" customHeight="1">
      <c r="A1035" s="1" t="s">
        <v>116</v>
      </c>
      <c r="B1035" s="1" t="s">
        <v>105</v>
      </c>
      <c r="C1035" s="1" t="s">
        <v>18</v>
      </c>
      <c r="D1035" s="1">
        <v>310.0</v>
      </c>
      <c r="E1035" s="1">
        <v>235.0</v>
      </c>
      <c r="F1035" s="1">
        <f t="shared" si="2"/>
        <v>-75</v>
      </c>
      <c r="G1035" s="1">
        <f t="shared" si="3"/>
        <v>75</v>
      </c>
      <c r="H1035" s="6">
        <f t="shared" si="4"/>
        <v>0.2419354839</v>
      </c>
      <c r="I1035" s="6">
        <f t="shared" si="5"/>
        <v>0.7580645161</v>
      </c>
      <c r="J1035" s="1">
        <f t="shared" si="6"/>
        <v>-75</v>
      </c>
      <c r="K1035" s="1" t="str">
        <f t="shared" si="7"/>
        <v>Under Forecast</v>
      </c>
      <c r="L1035" s="1">
        <f>F1035+J1034</f>
        <v>-37</v>
      </c>
      <c r="M1035" s="7">
        <f t="shared" si="10"/>
        <v>60.02804642</v>
      </c>
      <c r="N1035" s="7">
        <f t="shared" si="8"/>
        <v>-0.6163785465</v>
      </c>
      <c r="O1035" s="2" t="str">
        <f t="shared" si="9"/>
        <v>Acceptable</v>
      </c>
    </row>
    <row r="1036" ht="15.75" customHeight="1">
      <c r="A1036" s="1" t="s">
        <v>116</v>
      </c>
      <c r="B1036" s="1" t="s">
        <v>105</v>
      </c>
      <c r="C1036" s="1" t="s">
        <v>19</v>
      </c>
      <c r="D1036" s="1">
        <v>333.0</v>
      </c>
      <c r="E1036" s="1">
        <v>370.0</v>
      </c>
      <c r="F1036" s="1">
        <f t="shared" si="2"/>
        <v>37</v>
      </c>
      <c r="G1036" s="1">
        <f t="shared" si="3"/>
        <v>37</v>
      </c>
      <c r="H1036" s="6">
        <f t="shared" si="4"/>
        <v>0.1111111111</v>
      </c>
      <c r="I1036" s="6">
        <f t="shared" si="5"/>
        <v>0.8888888889</v>
      </c>
      <c r="J1036" s="1">
        <f t="shared" si="6"/>
        <v>37</v>
      </c>
      <c r="K1036" s="1" t="str">
        <f t="shared" si="7"/>
        <v>Over Forecast</v>
      </c>
      <c r="L1036" s="1">
        <f>F1036</f>
        <v>37</v>
      </c>
      <c r="M1036" s="7">
        <f t="shared" si="10"/>
        <v>60.0057971</v>
      </c>
      <c r="N1036" s="7">
        <f t="shared" si="8"/>
        <v>0.6166070911</v>
      </c>
      <c r="O1036" s="2" t="str">
        <f t="shared" si="9"/>
        <v>Acceptable</v>
      </c>
    </row>
    <row r="1037" ht="15.75" customHeight="1">
      <c r="A1037" s="1" t="s">
        <v>116</v>
      </c>
      <c r="B1037" s="1" t="s">
        <v>105</v>
      </c>
      <c r="C1037" s="1" t="s">
        <v>20</v>
      </c>
      <c r="D1037" s="1">
        <v>302.0</v>
      </c>
      <c r="E1037" s="1">
        <v>351.0</v>
      </c>
      <c r="F1037" s="1">
        <f t="shared" si="2"/>
        <v>49</v>
      </c>
      <c r="G1037" s="1">
        <f t="shared" si="3"/>
        <v>49</v>
      </c>
      <c r="H1037" s="6">
        <f t="shared" si="4"/>
        <v>0.1622516556</v>
      </c>
      <c r="I1037" s="6">
        <f t="shared" si="5"/>
        <v>0.8377483444</v>
      </c>
      <c r="J1037" s="1">
        <f t="shared" si="6"/>
        <v>49</v>
      </c>
      <c r="K1037" s="1" t="str">
        <f t="shared" si="7"/>
        <v>Over Forecast</v>
      </c>
      <c r="L1037" s="1">
        <f>F1037+J1036</f>
        <v>86</v>
      </c>
      <c r="M1037" s="7">
        <f t="shared" si="10"/>
        <v>59.99517375</v>
      </c>
      <c r="N1037" s="7">
        <f t="shared" si="8"/>
        <v>1.433448636</v>
      </c>
      <c r="O1037" s="2" t="str">
        <f t="shared" si="9"/>
        <v>Acceptable</v>
      </c>
    </row>
    <row r="1038" ht="15.75" customHeight="1">
      <c r="A1038" s="1" t="s">
        <v>116</v>
      </c>
      <c r="B1038" s="1" t="s">
        <v>105</v>
      </c>
      <c r="C1038" s="1" t="s">
        <v>21</v>
      </c>
      <c r="D1038" s="1">
        <v>310.0</v>
      </c>
      <c r="E1038" s="1">
        <v>367.0</v>
      </c>
      <c r="F1038" s="1">
        <f t="shared" si="2"/>
        <v>57</v>
      </c>
      <c r="G1038" s="1">
        <f t="shared" si="3"/>
        <v>57</v>
      </c>
      <c r="H1038" s="6">
        <f t="shared" si="4"/>
        <v>0.1838709677</v>
      </c>
      <c r="I1038" s="6">
        <f t="shared" si="5"/>
        <v>0.8161290323</v>
      </c>
      <c r="J1038" s="1">
        <f t="shared" si="6"/>
        <v>57</v>
      </c>
      <c r="K1038" s="1" t="str">
        <f t="shared" si="7"/>
        <v>Over Forecast</v>
      </c>
      <c r="L1038" s="1">
        <f>F1038</f>
        <v>57</v>
      </c>
      <c r="M1038" s="7">
        <f t="shared" si="10"/>
        <v>59.99228544</v>
      </c>
      <c r="N1038" s="7">
        <f t="shared" si="8"/>
        <v>0.9501221629</v>
      </c>
      <c r="O1038" s="2" t="str">
        <f t="shared" si="9"/>
        <v>Acceptable</v>
      </c>
    </row>
    <row r="1039" ht="15.75" customHeight="1">
      <c r="A1039" s="1" t="s">
        <v>116</v>
      </c>
      <c r="B1039" s="1" t="s">
        <v>105</v>
      </c>
      <c r="C1039" s="1" t="s">
        <v>22</v>
      </c>
      <c r="D1039" s="1">
        <v>305.0</v>
      </c>
      <c r="E1039" s="1">
        <v>336.0</v>
      </c>
      <c r="F1039" s="1">
        <f t="shared" si="2"/>
        <v>31</v>
      </c>
      <c r="G1039" s="1">
        <f t="shared" si="3"/>
        <v>31</v>
      </c>
      <c r="H1039" s="6">
        <f t="shared" si="4"/>
        <v>0.1016393443</v>
      </c>
      <c r="I1039" s="6">
        <f t="shared" si="5"/>
        <v>0.8983606557</v>
      </c>
      <c r="J1039" s="1">
        <f t="shared" si="6"/>
        <v>31</v>
      </c>
      <c r="K1039" s="1" t="str">
        <f t="shared" si="7"/>
        <v>Over Forecast</v>
      </c>
      <c r="L1039" s="1">
        <f>F1039+J1038</f>
        <v>88</v>
      </c>
      <c r="M1039" s="7">
        <f t="shared" si="10"/>
        <v>59.96435453</v>
      </c>
      <c r="N1039" s="7">
        <f t="shared" si="8"/>
        <v>1.467538518</v>
      </c>
      <c r="O1039" s="2" t="str">
        <f t="shared" si="9"/>
        <v>Acceptable</v>
      </c>
    </row>
    <row r="1040" ht="15.75" customHeight="1">
      <c r="A1040" s="1" t="s">
        <v>116</v>
      </c>
      <c r="B1040" s="1" t="s">
        <v>105</v>
      </c>
      <c r="C1040" s="1" t="s">
        <v>23</v>
      </c>
      <c r="D1040" s="1">
        <v>340.0</v>
      </c>
      <c r="E1040" s="1">
        <v>271.0</v>
      </c>
      <c r="F1040" s="1">
        <f t="shared" si="2"/>
        <v>-69</v>
      </c>
      <c r="G1040" s="1">
        <f t="shared" si="3"/>
        <v>69</v>
      </c>
      <c r="H1040" s="6">
        <f t="shared" si="4"/>
        <v>0.2029411765</v>
      </c>
      <c r="I1040" s="6">
        <f t="shared" si="5"/>
        <v>0.7970588235</v>
      </c>
      <c r="J1040" s="1">
        <f t="shared" si="6"/>
        <v>-69</v>
      </c>
      <c r="K1040" s="1" t="str">
        <f t="shared" si="7"/>
        <v>Under Forecast</v>
      </c>
      <c r="L1040" s="1">
        <f>F1040</f>
        <v>-69</v>
      </c>
      <c r="M1040" s="7">
        <f t="shared" si="10"/>
        <v>59.97305101</v>
      </c>
      <c r="N1040" s="7">
        <f t="shared" si="8"/>
        <v>-1.150516754</v>
      </c>
      <c r="O1040" s="2" t="str">
        <f t="shared" si="9"/>
        <v>Acceptable</v>
      </c>
    </row>
    <row r="1041" ht="15.75" customHeight="1">
      <c r="A1041" s="1" t="s">
        <v>116</v>
      </c>
      <c r="B1041" s="1" t="s">
        <v>105</v>
      </c>
      <c r="C1041" s="1" t="s">
        <v>24</v>
      </c>
      <c r="D1041" s="1">
        <v>309.0</v>
      </c>
      <c r="E1041" s="1">
        <v>233.0</v>
      </c>
      <c r="F1041" s="1">
        <f t="shared" si="2"/>
        <v>-76</v>
      </c>
      <c r="G1041" s="1">
        <f t="shared" si="3"/>
        <v>76</v>
      </c>
      <c r="H1041" s="6">
        <f t="shared" si="4"/>
        <v>0.2459546926</v>
      </c>
      <c r="I1041" s="6">
        <f t="shared" si="5"/>
        <v>0.7540453074</v>
      </c>
      <c r="J1041" s="1">
        <f t="shared" si="6"/>
        <v>-76</v>
      </c>
      <c r="K1041" s="1" t="str">
        <f t="shared" si="7"/>
        <v>Under Forecast</v>
      </c>
      <c r="L1041" s="1">
        <f>F1041+J1040</f>
        <v>-145</v>
      </c>
      <c r="M1041" s="7">
        <f t="shared" si="10"/>
        <v>59.98846154</v>
      </c>
      <c r="N1041" s="7">
        <f t="shared" si="8"/>
        <v>-2.4171315</v>
      </c>
      <c r="O1041" s="2" t="str">
        <f t="shared" si="9"/>
        <v>Acceptable</v>
      </c>
    </row>
    <row r="1042" ht="15.75" customHeight="1">
      <c r="A1042" s="1" t="s">
        <v>116</v>
      </c>
      <c r="B1042" s="1" t="s">
        <v>105</v>
      </c>
      <c r="C1042" s="1" t="s">
        <v>25</v>
      </c>
      <c r="D1042" s="1">
        <v>306.0</v>
      </c>
      <c r="E1042" s="1">
        <v>275.0</v>
      </c>
      <c r="F1042" s="1">
        <f t="shared" si="2"/>
        <v>-31</v>
      </c>
      <c r="G1042" s="1">
        <f t="shared" si="3"/>
        <v>31</v>
      </c>
      <c r="H1042" s="6">
        <f t="shared" si="4"/>
        <v>0.1013071895</v>
      </c>
      <c r="I1042" s="6">
        <f t="shared" si="5"/>
        <v>0.8986928105</v>
      </c>
      <c r="J1042" s="1">
        <f t="shared" si="6"/>
        <v>-31</v>
      </c>
      <c r="K1042" s="1" t="str">
        <f t="shared" si="7"/>
        <v>Under Forecast</v>
      </c>
      <c r="L1042" s="1">
        <f>F1042</f>
        <v>-31</v>
      </c>
      <c r="M1042" s="7">
        <f t="shared" si="10"/>
        <v>59.96061479</v>
      </c>
      <c r="N1042" s="7">
        <f t="shared" si="8"/>
        <v>-0.5170060398</v>
      </c>
      <c r="O1042" s="2" t="str">
        <f t="shared" si="9"/>
        <v>Acceptable</v>
      </c>
    </row>
    <row r="1043" ht="15.75" customHeight="1">
      <c r="A1043" s="1" t="s">
        <v>116</v>
      </c>
      <c r="B1043" s="1" t="s">
        <v>105</v>
      </c>
      <c r="C1043" s="1" t="s">
        <v>26</v>
      </c>
      <c r="D1043" s="1">
        <v>309.0</v>
      </c>
      <c r="E1043" s="1">
        <v>277.0</v>
      </c>
      <c r="F1043" s="1">
        <f t="shared" si="2"/>
        <v>-32</v>
      </c>
      <c r="G1043" s="1">
        <f t="shared" si="3"/>
        <v>32</v>
      </c>
      <c r="H1043" s="6">
        <f t="shared" si="4"/>
        <v>0.1035598706</v>
      </c>
      <c r="I1043" s="6">
        <f t="shared" si="5"/>
        <v>0.8964401294</v>
      </c>
      <c r="J1043" s="1">
        <f t="shared" si="6"/>
        <v>-32</v>
      </c>
      <c r="K1043" s="1" t="str">
        <f t="shared" si="7"/>
        <v>Under Forecast</v>
      </c>
      <c r="L1043" s="1">
        <f>F1043+J1042</f>
        <v>-63</v>
      </c>
      <c r="M1043" s="7">
        <f t="shared" si="10"/>
        <v>59.93378119</v>
      </c>
      <c r="N1043" s="7">
        <f t="shared" si="8"/>
        <v>-1.05116011</v>
      </c>
      <c r="O1043" s="2" t="str">
        <f t="shared" si="9"/>
        <v>Acceptable</v>
      </c>
    </row>
    <row r="1044" ht="15.75" customHeight="1">
      <c r="A1044" s="1" t="s">
        <v>116</v>
      </c>
      <c r="B1044" s="1" t="s">
        <v>105</v>
      </c>
      <c r="C1044" s="1" t="s">
        <v>27</v>
      </c>
      <c r="D1044" s="1">
        <v>285.0</v>
      </c>
      <c r="E1044" s="1">
        <v>319.0</v>
      </c>
      <c r="F1044" s="1">
        <f t="shared" si="2"/>
        <v>34</v>
      </c>
      <c r="G1044" s="1">
        <f t="shared" si="3"/>
        <v>34</v>
      </c>
      <c r="H1044" s="6">
        <f t="shared" si="4"/>
        <v>0.1192982456</v>
      </c>
      <c r="I1044" s="6">
        <f t="shared" si="5"/>
        <v>0.8807017544</v>
      </c>
      <c r="J1044" s="1">
        <f t="shared" si="6"/>
        <v>34</v>
      </c>
      <c r="K1044" s="1" t="str">
        <f t="shared" si="7"/>
        <v>Over Forecast</v>
      </c>
      <c r="L1044" s="1">
        <f>F1044</f>
        <v>34</v>
      </c>
      <c r="M1044" s="7">
        <f t="shared" si="10"/>
        <v>59.90891659</v>
      </c>
      <c r="N1044" s="7">
        <f t="shared" si="8"/>
        <v>0.5675282068</v>
      </c>
      <c r="O1044" s="2" t="str">
        <f t="shared" si="9"/>
        <v>Acceptable</v>
      </c>
    </row>
    <row r="1045" ht="15.75" customHeight="1">
      <c r="A1045" s="1" t="s">
        <v>116</v>
      </c>
      <c r="B1045" s="1" t="s">
        <v>105</v>
      </c>
      <c r="C1045" s="1" t="s">
        <v>28</v>
      </c>
      <c r="D1045" s="1">
        <v>262.0</v>
      </c>
      <c r="E1045" s="1">
        <v>314.0</v>
      </c>
      <c r="F1045" s="1">
        <f t="shared" si="2"/>
        <v>52</v>
      </c>
      <c r="G1045" s="1">
        <f t="shared" si="3"/>
        <v>52</v>
      </c>
      <c r="H1045" s="6">
        <f t="shared" si="4"/>
        <v>0.1984732824</v>
      </c>
      <c r="I1045" s="6">
        <f t="shared" si="5"/>
        <v>0.8015267176</v>
      </c>
      <c r="J1045" s="1">
        <f t="shared" si="6"/>
        <v>52</v>
      </c>
      <c r="K1045" s="1" t="str">
        <f t="shared" si="7"/>
        <v>Over Forecast</v>
      </c>
      <c r="L1045" s="1">
        <f>F1045+J1044</f>
        <v>86</v>
      </c>
      <c r="M1045" s="7">
        <f t="shared" si="10"/>
        <v>59.901341</v>
      </c>
      <c r="N1045" s="7">
        <f t="shared" si="8"/>
        <v>1.435694069</v>
      </c>
      <c r="O1045" s="2" t="str">
        <f t="shared" si="9"/>
        <v>Acceptable</v>
      </c>
    </row>
    <row r="1046" ht="15.75" customHeight="1">
      <c r="A1046" s="1" t="s">
        <v>117</v>
      </c>
      <c r="B1046" s="1" t="s">
        <v>105</v>
      </c>
      <c r="C1046" s="1" t="s">
        <v>17</v>
      </c>
      <c r="D1046" s="1">
        <v>53.0</v>
      </c>
      <c r="E1046" s="1">
        <v>50.0</v>
      </c>
      <c r="F1046" s="1">
        <f t="shared" si="2"/>
        <v>-3</v>
      </c>
      <c r="G1046" s="1">
        <f t="shared" si="3"/>
        <v>3</v>
      </c>
      <c r="H1046" s="6">
        <f t="shared" si="4"/>
        <v>0.05660377358</v>
      </c>
      <c r="I1046" s="6">
        <f t="shared" si="5"/>
        <v>0.9433962264</v>
      </c>
      <c r="J1046" s="1">
        <f t="shared" si="6"/>
        <v>-3</v>
      </c>
      <c r="K1046" s="1" t="str">
        <f t="shared" si="7"/>
        <v>Under Forecast</v>
      </c>
      <c r="L1046" s="1">
        <f>F1046</f>
        <v>-3</v>
      </c>
      <c r="M1046" s="7">
        <f t="shared" si="10"/>
        <v>59.84688995</v>
      </c>
      <c r="N1046" s="7">
        <f t="shared" si="8"/>
        <v>-0.05012791813</v>
      </c>
      <c r="O1046" s="2" t="str">
        <f t="shared" si="9"/>
        <v>Acceptable</v>
      </c>
    </row>
    <row r="1047" ht="15.75" customHeight="1">
      <c r="A1047" s="1" t="s">
        <v>117</v>
      </c>
      <c r="B1047" s="1" t="s">
        <v>105</v>
      </c>
      <c r="C1047" s="1" t="s">
        <v>18</v>
      </c>
      <c r="D1047" s="1">
        <v>64.0</v>
      </c>
      <c r="E1047" s="1">
        <v>69.0</v>
      </c>
      <c r="F1047" s="1">
        <f t="shared" si="2"/>
        <v>5</v>
      </c>
      <c r="G1047" s="1">
        <f t="shared" si="3"/>
        <v>5</v>
      </c>
      <c r="H1047" s="6">
        <f t="shared" si="4"/>
        <v>0.078125</v>
      </c>
      <c r="I1047" s="6">
        <f t="shared" si="5"/>
        <v>0.921875</v>
      </c>
      <c r="J1047" s="1">
        <f t="shared" si="6"/>
        <v>5</v>
      </c>
      <c r="K1047" s="1" t="str">
        <f t="shared" si="7"/>
        <v>Over Forecast</v>
      </c>
      <c r="L1047" s="1">
        <f>F1047+J1046</f>
        <v>2</v>
      </c>
      <c r="M1047" s="7">
        <f t="shared" si="10"/>
        <v>59.79445507</v>
      </c>
      <c r="N1047" s="7">
        <f t="shared" si="8"/>
        <v>0.0334479175</v>
      </c>
      <c r="O1047" s="2" t="str">
        <f t="shared" si="9"/>
        <v>Acceptable</v>
      </c>
    </row>
    <row r="1048" ht="15.75" customHeight="1">
      <c r="A1048" s="1" t="s">
        <v>117</v>
      </c>
      <c r="B1048" s="1" t="s">
        <v>105</v>
      </c>
      <c r="C1048" s="1" t="s">
        <v>19</v>
      </c>
      <c r="D1048" s="1">
        <v>63.0</v>
      </c>
      <c r="E1048" s="1">
        <v>75.0</v>
      </c>
      <c r="F1048" s="1">
        <f t="shared" si="2"/>
        <v>12</v>
      </c>
      <c r="G1048" s="1">
        <f t="shared" si="3"/>
        <v>12</v>
      </c>
      <c r="H1048" s="6">
        <f t="shared" si="4"/>
        <v>0.1904761905</v>
      </c>
      <c r="I1048" s="6">
        <f t="shared" si="5"/>
        <v>0.8095238095</v>
      </c>
      <c r="J1048" s="1">
        <f t="shared" si="6"/>
        <v>12</v>
      </c>
      <c r="K1048" s="1" t="str">
        <f t="shared" si="7"/>
        <v>Over Forecast</v>
      </c>
      <c r="L1048" s="1">
        <f>F1048</f>
        <v>12</v>
      </c>
      <c r="M1048" s="7">
        <f t="shared" si="10"/>
        <v>59.74880611</v>
      </c>
      <c r="N1048" s="7">
        <f t="shared" si="8"/>
        <v>0.2008408332</v>
      </c>
      <c r="O1048" s="2" t="str">
        <f t="shared" si="9"/>
        <v>Acceptable</v>
      </c>
    </row>
    <row r="1049" ht="15.75" customHeight="1">
      <c r="A1049" s="1" t="s">
        <v>117</v>
      </c>
      <c r="B1049" s="1" t="s">
        <v>105</v>
      </c>
      <c r="C1049" s="1" t="s">
        <v>20</v>
      </c>
      <c r="D1049" s="1">
        <v>63.0</v>
      </c>
      <c r="E1049" s="1">
        <v>62.0</v>
      </c>
      <c r="F1049" s="1">
        <f t="shared" si="2"/>
        <v>-1</v>
      </c>
      <c r="G1049" s="1">
        <f t="shared" si="3"/>
        <v>1</v>
      </c>
      <c r="H1049" s="6">
        <f t="shared" si="4"/>
        <v>0.01587301587</v>
      </c>
      <c r="I1049" s="6">
        <f t="shared" si="5"/>
        <v>0.9841269841</v>
      </c>
      <c r="J1049" s="1">
        <f t="shared" si="6"/>
        <v>-1</v>
      </c>
      <c r="K1049" s="1" t="str">
        <f t="shared" si="7"/>
        <v>Under Forecast</v>
      </c>
      <c r="L1049" s="1">
        <f>F1049+J1048</f>
        <v>11</v>
      </c>
      <c r="M1049" s="7">
        <f t="shared" si="10"/>
        <v>59.69274809</v>
      </c>
      <c r="N1049" s="7">
        <f t="shared" si="8"/>
        <v>0.184276991</v>
      </c>
      <c r="O1049" s="2" t="str">
        <f t="shared" si="9"/>
        <v>Acceptable</v>
      </c>
    </row>
    <row r="1050" ht="15.75" customHeight="1">
      <c r="A1050" s="1" t="s">
        <v>117</v>
      </c>
      <c r="B1050" s="1" t="s">
        <v>105</v>
      </c>
      <c r="C1050" s="1" t="s">
        <v>21</v>
      </c>
      <c r="D1050" s="1">
        <v>66.0</v>
      </c>
      <c r="E1050" s="1">
        <v>77.0</v>
      </c>
      <c r="F1050" s="1">
        <f t="shared" si="2"/>
        <v>11</v>
      </c>
      <c r="G1050" s="1">
        <f t="shared" si="3"/>
        <v>11</v>
      </c>
      <c r="H1050" s="6">
        <f t="shared" si="4"/>
        <v>0.1666666667</v>
      </c>
      <c r="I1050" s="6">
        <f t="shared" si="5"/>
        <v>0.8333333333</v>
      </c>
      <c r="J1050" s="1">
        <f t="shared" si="6"/>
        <v>11</v>
      </c>
      <c r="K1050" s="1" t="str">
        <f t="shared" si="7"/>
        <v>Over Forecast</v>
      </c>
      <c r="L1050" s="1">
        <f>F1050</f>
        <v>11</v>
      </c>
      <c r="M1050" s="7">
        <f t="shared" si="10"/>
        <v>59.64632984</v>
      </c>
      <c r="N1050" s="7">
        <f t="shared" si="8"/>
        <v>0.1844203999</v>
      </c>
      <c r="O1050" s="2" t="str">
        <f t="shared" si="9"/>
        <v>Acceptable</v>
      </c>
    </row>
    <row r="1051" ht="15.75" customHeight="1">
      <c r="A1051" s="1" t="s">
        <v>117</v>
      </c>
      <c r="B1051" s="1" t="s">
        <v>105</v>
      </c>
      <c r="C1051" s="1" t="s">
        <v>22</v>
      </c>
      <c r="D1051" s="1">
        <v>73.0</v>
      </c>
      <c r="E1051" s="1">
        <v>80.0</v>
      </c>
      <c r="F1051" s="1">
        <f t="shared" si="2"/>
        <v>7</v>
      </c>
      <c r="G1051" s="1">
        <f t="shared" si="3"/>
        <v>7</v>
      </c>
      <c r="H1051" s="6">
        <f t="shared" si="4"/>
        <v>0.09589041096</v>
      </c>
      <c r="I1051" s="6">
        <f t="shared" si="5"/>
        <v>0.904109589</v>
      </c>
      <c r="J1051" s="1">
        <f t="shared" si="6"/>
        <v>7</v>
      </c>
      <c r="K1051" s="1" t="str">
        <f t="shared" si="7"/>
        <v>Over Forecast</v>
      </c>
      <c r="L1051" s="1">
        <f>F1051+J1050</f>
        <v>18</v>
      </c>
      <c r="M1051" s="7">
        <f t="shared" si="10"/>
        <v>59.59619048</v>
      </c>
      <c r="N1051" s="7">
        <f t="shared" si="8"/>
        <v>0.3020327282</v>
      </c>
      <c r="O1051" s="2" t="str">
        <f t="shared" si="9"/>
        <v>Acceptable</v>
      </c>
    </row>
    <row r="1052" ht="15.75" customHeight="1">
      <c r="A1052" s="1" t="s">
        <v>117</v>
      </c>
      <c r="B1052" s="1" t="s">
        <v>105</v>
      </c>
      <c r="C1052" s="1" t="s">
        <v>23</v>
      </c>
      <c r="D1052" s="1">
        <v>72.0</v>
      </c>
      <c r="E1052" s="1">
        <v>64.0</v>
      </c>
      <c r="F1052" s="1">
        <f t="shared" si="2"/>
        <v>-8</v>
      </c>
      <c r="G1052" s="1">
        <f t="shared" si="3"/>
        <v>8</v>
      </c>
      <c r="H1052" s="6">
        <f t="shared" si="4"/>
        <v>0.1111111111</v>
      </c>
      <c r="I1052" s="6">
        <f t="shared" si="5"/>
        <v>0.8888888889</v>
      </c>
      <c r="J1052" s="1">
        <f t="shared" si="6"/>
        <v>-8</v>
      </c>
      <c r="K1052" s="1" t="str">
        <f t="shared" si="7"/>
        <v>Under Forecast</v>
      </c>
      <c r="L1052" s="1">
        <f>F1052</f>
        <v>-8</v>
      </c>
      <c r="M1052" s="7">
        <f t="shared" si="10"/>
        <v>59.547098</v>
      </c>
      <c r="N1052" s="7">
        <f t="shared" si="8"/>
        <v>-0.134347437</v>
      </c>
      <c r="O1052" s="2" t="str">
        <f t="shared" si="9"/>
        <v>Acceptable</v>
      </c>
    </row>
    <row r="1053" ht="15.75" customHeight="1">
      <c r="A1053" s="1" t="s">
        <v>117</v>
      </c>
      <c r="B1053" s="1" t="s">
        <v>105</v>
      </c>
      <c r="C1053" s="1" t="s">
        <v>24</v>
      </c>
      <c r="D1053" s="1">
        <v>74.0</v>
      </c>
      <c r="E1053" s="1">
        <v>85.0</v>
      </c>
      <c r="F1053" s="1">
        <f t="shared" si="2"/>
        <v>11</v>
      </c>
      <c r="G1053" s="1">
        <f t="shared" si="3"/>
        <v>11</v>
      </c>
      <c r="H1053" s="6">
        <f t="shared" si="4"/>
        <v>0.1486486486</v>
      </c>
      <c r="I1053" s="6">
        <f t="shared" si="5"/>
        <v>0.8513513514</v>
      </c>
      <c r="J1053" s="1">
        <f t="shared" si="6"/>
        <v>11</v>
      </c>
      <c r="K1053" s="1" t="str">
        <f t="shared" si="7"/>
        <v>Over Forecast</v>
      </c>
      <c r="L1053" s="1">
        <f>F1053+J1052</f>
        <v>3</v>
      </c>
      <c r="M1053" s="7">
        <f t="shared" si="10"/>
        <v>59.50095057</v>
      </c>
      <c r="N1053" s="7">
        <f t="shared" si="8"/>
        <v>0.05041936257</v>
      </c>
      <c r="O1053" s="2" t="str">
        <f t="shared" si="9"/>
        <v>Acceptable</v>
      </c>
    </row>
    <row r="1054" ht="15.75" customHeight="1">
      <c r="A1054" s="1" t="s">
        <v>117</v>
      </c>
      <c r="B1054" s="1" t="s">
        <v>105</v>
      </c>
      <c r="C1054" s="1" t="s">
        <v>25</v>
      </c>
      <c r="D1054" s="1">
        <v>73.0</v>
      </c>
      <c r="E1054" s="1">
        <v>58.0</v>
      </c>
      <c r="F1054" s="1">
        <f t="shared" si="2"/>
        <v>-15</v>
      </c>
      <c r="G1054" s="1">
        <f t="shared" si="3"/>
        <v>15</v>
      </c>
      <c r="H1054" s="6">
        <f t="shared" si="4"/>
        <v>0.2054794521</v>
      </c>
      <c r="I1054" s="6">
        <f t="shared" si="5"/>
        <v>0.7945205479</v>
      </c>
      <c r="J1054" s="1">
        <f t="shared" si="6"/>
        <v>-15</v>
      </c>
      <c r="K1054" s="1" t="str">
        <f t="shared" si="7"/>
        <v>Under Forecast</v>
      </c>
      <c r="L1054" s="1">
        <f>F1054</f>
        <v>-15</v>
      </c>
      <c r="M1054" s="7">
        <f t="shared" si="10"/>
        <v>59.45868946</v>
      </c>
      <c r="N1054" s="7">
        <f t="shared" si="8"/>
        <v>-0.2522759943</v>
      </c>
      <c r="O1054" s="2" t="str">
        <f t="shared" si="9"/>
        <v>Acceptable</v>
      </c>
    </row>
    <row r="1055" ht="15.75" customHeight="1">
      <c r="A1055" s="1" t="s">
        <v>117</v>
      </c>
      <c r="B1055" s="1" t="s">
        <v>105</v>
      </c>
      <c r="C1055" s="1" t="s">
        <v>26</v>
      </c>
      <c r="D1055" s="1">
        <v>78.0</v>
      </c>
      <c r="E1055" s="1">
        <v>63.0</v>
      </c>
      <c r="F1055" s="1">
        <f t="shared" si="2"/>
        <v>-15</v>
      </c>
      <c r="G1055" s="1">
        <f t="shared" si="3"/>
        <v>15</v>
      </c>
      <c r="H1055" s="6">
        <f t="shared" si="4"/>
        <v>0.1923076923</v>
      </c>
      <c r="I1055" s="6">
        <f t="shared" si="5"/>
        <v>0.8076923077</v>
      </c>
      <c r="J1055" s="1">
        <f t="shared" si="6"/>
        <v>-15</v>
      </c>
      <c r="K1055" s="1" t="str">
        <f t="shared" si="7"/>
        <v>Under Forecast</v>
      </c>
      <c r="L1055" s="1">
        <f>F1055+J1054</f>
        <v>-30</v>
      </c>
      <c r="M1055" s="7">
        <f t="shared" si="10"/>
        <v>59.41650854</v>
      </c>
      <c r="N1055" s="7">
        <f t="shared" si="8"/>
        <v>-0.5049101796</v>
      </c>
      <c r="O1055" s="2" t="str">
        <f t="shared" si="9"/>
        <v>Acceptable</v>
      </c>
    </row>
    <row r="1056" ht="15.75" customHeight="1">
      <c r="A1056" s="1" t="s">
        <v>117</v>
      </c>
      <c r="B1056" s="1" t="s">
        <v>105</v>
      </c>
      <c r="C1056" s="1" t="s">
        <v>27</v>
      </c>
      <c r="D1056" s="1">
        <v>80.0</v>
      </c>
      <c r="E1056" s="1">
        <v>63.0</v>
      </c>
      <c r="F1056" s="1">
        <f t="shared" si="2"/>
        <v>-17</v>
      </c>
      <c r="G1056" s="1">
        <f t="shared" si="3"/>
        <v>17</v>
      </c>
      <c r="H1056" s="6">
        <f t="shared" si="4"/>
        <v>0.2125</v>
      </c>
      <c r="I1056" s="6">
        <f t="shared" si="5"/>
        <v>0.7875</v>
      </c>
      <c r="J1056" s="1">
        <f t="shared" si="6"/>
        <v>-17</v>
      </c>
      <c r="K1056" s="1" t="str">
        <f t="shared" si="7"/>
        <v>Under Forecast</v>
      </c>
      <c r="L1056" s="1">
        <f>F1056</f>
        <v>-17</v>
      </c>
      <c r="M1056" s="7">
        <f t="shared" si="10"/>
        <v>59.37630332</v>
      </c>
      <c r="N1056" s="7">
        <f t="shared" si="8"/>
        <v>-0.2863095048</v>
      </c>
      <c r="O1056" s="2" t="str">
        <f t="shared" si="9"/>
        <v>Acceptable</v>
      </c>
    </row>
    <row r="1057" ht="15.75" customHeight="1">
      <c r="A1057" s="1" t="s">
        <v>117</v>
      </c>
      <c r="B1057" s="1" t="s">
        <v>105</v>
      </c>
      <c r="C1057" s="1" t="s">
        <v>28</v>
      </c>
      <c r="D1057" s="1">
        <v>75.0</v>
      </c>
      <c r="E1057" s="1">
        <v>61.0</v>
      </c>
      <c r="F1057" s="1">
        <f t="shared" si="2"/>
        <v>-14</v>
      </c>
      <c r="G1057" s="1">
        <f t="shared" si="3"/>
        <v>14</v>
      </c>
      <c r="H1057" s="6">
        <f t="shared" si="4"/>
        <v>0.1866666667</v>
      </c>
      <c r="I1057" s="6">
        <f t="shared" si="5"/>
        <v>0.8133333333</v>
      </c>
      <c r="J1057" s="1">
        <f t="shared" si="6"/>
        <v>-14</v>
      </c>
      <c r="K1057" s="1" t="str">
        <f t="shared" si="7"/>
        <v>Under Forecast</v>
      </c>
      <c r="L1057" s="1">
        <f>F1057+J1056</f>
        <v>-31</v>
      </c>
      <c r="M1057" s="7">
        <f t="shared" si="10"/>
        <v>59.33333333</v>
      </c>
      <c r="N1057" s="7">
        <f t="shared" si="8"/>
        <v>-0.5224719101</v>
      </c>
      <c r="O1057" s="2" t="str">
        <f t="shared" si="9"/>
        <v>Acceptable</v>
      </c>
    </row>
    <row r="1058" ht="15.75" customHeight="1">
      <c r="A1058" s="1" t="s">
        <v>118</v>
      </c>
      <c r="B1058" s="1" t="s">
        <v>105</v>
      </c>
      <c r="C1058" s="1" t="s">
        <v>17</v>
      </c>
      <c r="D1058" s="1">
        <v>233.0</v>
      </c>
      <c r="E1058" s="1">
        <v>244.0</v>
      </c>
      <c r="F1058" s="1">
        <f t="shared" si="2"/>
        <v>11</v>
      </c>
      <c r="G1058" s="1">
        <f t="shared" si="3"/>
        <v>11</v>
      </c>
      <c r="H1058" s="6">
        <f t="shared" si="4"/>
        <v>0.04721030043</v>
      </c>
      <c r="I1058" s="6">
        <f t="shared" si="5"/>
        <v>0.9527896996</v>
      </c>
      <c r="J1058" s="1">
        <f t="shared" si="6"/>
        <v>11</v>
      </c>
      <c r="K1058" s="1" t="str">
        <f t="shared" si="7"/>
        <v>Over Forecast</v>
      </c>
      <c r="L1058" s="1">
        <f>F1058</f>
        <v>11</v>
      </c>
      <c r="M1058" s="7">
        <f t="shared" si="10"/>
        <v>59.28760643</v>
      </c>
      <c r="N1058" s="7">
        <f t="shared" si="8"/>
        <v>0.1855362471</v>
      </c>
      <c r="O1058" s="2" t="str">
        <f t="shared" si="9"/>
        <v>Acceptable</v>
      </c>
    </row>
    <row r="1059" ht="15.75" customHeight="1">
      <c r="A1059" s="1" t="s">
        <v>118</v>
      </c>
      <c r="B1059" s="1" t="s">
        <v>105</v>
      </c>
      <c r="C1059" s="1" t="s">
        <v>18</v>
      </c>
      <c r="D1059" s="1">
        <v>247.0</v>
      </c>
      <c r="E1059" s="1">
        <v>240.0</v>
      </c>
      <c r="F1059" s="1">
        <f t="shared" si="2"/>
        <v>-7</v>
      </c>
      <c r="G1059" s="1">
        <f t="shared" si="3"/>
        <v>7</v>
      </c>
      <c r="H1059" s="6">
        <f t="shared" si="4"/>
        <v>0.02834008097</v>
      </c>
      <c r="I1059" s="6">
        <f t="shared" si="5"/>
        <v>0.971659919</v>
      </c>
      <c r="J1059" s="1">
        <f t="shared" si="6"/>
        <v>-7</v>
      </c>
      <c r="K1059" s="1" t="str">
        <f t="shared" si="7"/>
        <v>Under Forecast</v>
      </c>
      <c r="L1059" s="1">
        <f>F1059+J1058</f>
        <v>4</v>
      </c>
      <c r="M1059" s="7">
        <f t="shared" si="10"/>
        <v>59.23818526</v>
      </c>
      <c r="N1059" s="7">
        <f t="shared" si="8"/>
        <v>0.06752401315</v>
      </c>
      <c r="O1059" s="2" t="str">
        <f t="shared" si="9"/>
        <v>Acceptable</v>
      </c>
    </row>
    <row r="1060" ht="15.75" customHeight="1">
      <c r="A1060" s="1" t="s">
        <v>118</v>
      </c>
      <c r="B1060" s="1" t="s">
        <v>105</v>
      </c>
      <c r="C1060" s="1" t="s">
        <v>19</v>
      </c>
      <c r="D1060" s="1">
        <v>246.0</v>
      </c>
      <c r="E1060" s="1">
        <v>262.0</v>
      </c>
      <c r="F1060" s="1">
        <f t="shared" si="2"/>
        <v>16</v>
      </c>
      <c r="G1060" s="1">
        <f t="shared" si="3"/>
        <v>16</v>
      </c>
      <c r="H1060" s="6">
        <f t="shared" si="4"/>
        <v>0.06504065041</v>
      </c>
      <c r="I1060" s="6">
        <f t="shared" si="5"/>
        <v>0.9349593496</v>
      </c>
      <c r="J1060" s="1">
        <f t="shared" si="6"/>
        <v>16</v>
      </c>
      <c r="K1060" s="1" t="str">
        <f t="shared" si="7"/>
        <v>Over Forecast</v>
      </c>
      <c r="L1060" s="1">
        <f>F1060</f>
        <v>16</v>
      </c>
      <c r="M1060" s="7">
        <f t="shared" si="10"/>
        <v>59.197356</v>
      </c>
      <c r="N1060" s="7">
        <f t="shared" si="8"/>
        <v>0.2702823417</v>
      </c>
      <c r="O1060" s="2" t="str">
        <f t="shared" si="9"/>
        <v>Acceptable</v>
      </c>
    </row>
    <row r="1061" ht="15.75" customHeight="1">
      <c r="A1061" s="1" t="s">
        <v>118</v>
      </c>
      <c r="B1061" s="1" t="s">
        <v>105</v>
      </c>
      <c r="C1061" s="1" t="s">
        <v>20</v>
      </c>
      <c r="D1061" s="1">
        <v>254.0</v>
      </c>
      <c r="E1061" s="1">
        <v>279.0</v>
      </c>
      <c r="F1061" s="1">
        <f t="shared" si="2"/>
        <v>25</v>
      </c>
      <c r="G1061" s="1">
        <f t="shared" si="3"/>
        <v>25</v>
      </c>
      <c r="H1061" s="6">
        <f t="shared" si="4"/>
        <v>0.09842519685</v>
      </c>
      <c r="I1061" s="6">
        <f t="shared" si="5"/>
        <v>0.9015748031</v>
      </c>
      <c r="J1061" s="1">
        <f t="shared" si="6"/>
        <v>25</v>
      </c>
      <c r="K1061" s="1" t="str">
        <f t="shared" si="7"/>
        <v>Over Forecast</v>
      </c>
      <c r="L1061" s="1">
        <f>F1061+J1060</f>
        <v>41</v>
      </c>
      <c r="M1061" s="7">
        <f t="shared" si="10"/>
        <v>59.16509434</v>
      </c>
      <c r="N1061" s="7">
        <f t="shared" si="8"/>
        <v>0.692976162</v>
      </c>
      <c r="O1061" s="2" t="str">
        <f t="shared" si="9"/>
        <v>Acceptable</v>
      </c>
    </row>
    <row r="1062" ht="15.75" customHeight="1">
      <c r="A1062" s="1" t="s">
        <v>118</v>
      </c>
      <c r="B1062" s="1" t="s">
        <v>105</v>
      </c>
      <c r="C1062" s="1" t="s">
        <v>21</v>
      </c>
      <c r="D1062" s="1">
        <v>245.0</v>
      </c>
      <c r="E1062" s="1">
        <v>246.0</v>
      </c>
      <c r="F1062" s="1">
        <f t="shared" si="2"/>
        <v>1</v>
      </c>
      <c r="G1062" s="1">
        <f t="shared" si="3"/>
        <v>1</v>
      </c>
      <c r="H1062" s="6">
        <f t="shared" si="4"/>
        <v>0.004081632653</v>
      </c>
      <c r="I1062" s="6">
        <f t="shared" si="5"/>
        <v>0.9959183673</v>
      </c>
      <c r="J1062" s="1">
        <f t="shared" si="6"/>
        <v>1</v>
      </c>
      <c r="K1062" s="1" t="str">
        <f t="shared" si="7"/>
        <v>Over Forecast</v>
      </c>
      <c r="L1062" s="1">
        <f>F1062</f>
        <v>1</v>
      </c>
      <c r="M1062" s="7">
        <f t="shared" si="10"/>
        <v>59.11027333</v>
      </c>
      <c r="N1062" s="7">
        <f t="shared" si="8"/>
        <v>0.01691753301</v>
      </c>
      <c r="O1062" s="2" t="str">
        <f t="shared" si="9"/>
        <v>Acceptable</v>
      </c>
    </row>
    <row r="1063" ht="15.75" customHeight="1">
      <c r="A1063" s="1" t="s">
        <v>118</v>
      </c>
      <c r="B1063" s="1" t="s">
        <v>105</v>
      </c>
      <c r="C1063" s="1" t="s">
        <v>22</v>
      </c>
      <c r="D1063" s="1">
        <v>244.0</v>
      </c>
      <c r="E1063" s="1">
        <v>229.0</v>
      </c>
      <c r="F1063" s="1">
        <f t="shared" si="2"/>
        <v>-15</v>
      </c>
      <c r="G1063" s="1">
        <f t="shared" si="3"/>
        <v>15</v>
      </c>
      <c r="H1063" s="6">
        <f t="shared" si="4"/>
        <v>0.06147540984</v>
      </c>
      <c r="I1063" s="6">
        <f t="shared" si="5"/>
        <v>0.9385245902</v>
      </c>
      <c r="J1063" s="1">
        <f t="shared" si="6"/>
        <v>-15</v>
      </c>
      <c r="K1063" s="1" t="str">
        <f t="shared" si="7"/>
        <v>Under Forecast</v>
      </c>
      <c r="L1063" s="1">
        <f>F1063+J1062</f>
        <v>-14</v>
      </c>
      <c r="M1063" s="7">
        <f t="shared" si="10"/>
        <v>59.06873823</v>
      </c>
      <c r="N1063" s="7">
        <f t="shared" si="8"/>
        <v>-0.2370120036</v>
      </c>
      <c r="O1063" s="2" t="str">
        <f t="shared" si="9"/>
        <v>Acceptable</v>
      </c>
    </row>
    <row r="1064" ht="15.75" customHeight="1">
      <c r="A1064" s="1" t="s">
        <v>118</v>
      </c>
      <c r="B1064" s="1" t="s">
        <v>105</v>
      </c>
      <c r="C1064" s="1" t="s">
        <v>23</v>
      </c>
      <c r="D1064" s="1">
        <v>271.0</v>
      </c>
      <c r="E1064" s="1">
        <v>291.0</v>
      </c>
      <c r="F1064" s="1">
        <f t="shared" si="2"/>
        <v>20</v>
      </c>
      <c r="G1064" s="1">
        <f t="shared" si="3"/>
        <v>20</v>
      </c>
      <c r="H1064" s="6">
        <f t="shared" si="4"/>
        <v>0.07380073801</v>
      </c>
      <c r="I1064" s="6">
        <f t="shared" si="5"/>
        <v>0.926199262</v>
      </c>
      <c r="J1064" s="1">
        <f t="shared" si="6"/>
        <v>20</v>
      </c>
      <c r="K1064" s="1" t="str">
        <f t="shared" si="7"/>
        <v>Over Forecast</v>
      </c>
      <c r="L1064" s="1">
        <f>F1064</f>
        <v>20</v>
      </c>
      <c r="M1064" s="7">
        <f t="shared" si="10"/>
        <v>59.03198495</v>
      </c>
      <c r="N1064" s="7">
        <f t="shared" si="8"/>
        <v>0.3387993817</v>
      </c>
      <c r="O1064" s="2" t="str">
        <f t="shared" si="9"/>
        <v>Acceptable</v>
      </c>
    </row>
    <row r="1065" ht="15.75" customHeight="1">
      <c r="A1065" s="1" t="s">
        <v>118</v>
      </c>
      <c r="B1065" s="1" t="s">
        <v>105</v>
      </c>
      <c r="C1065" s="1" t="s">
        <v>24</v>
      </c>
      <c r="D1065" s="1">
        <v>288.0</v>
      </c>
      <c r="E1065" s="1">
        <v>302.0</v>
      </c>
      <c r="F1065" s="1">
        <f t="shared" si="2"/>
        <v>14</v>
      </c>
      <c r="G1065" s="1">
        <f t="shared" si="3"/>
        <v>14</v>
      </c>
      <c r="H1065" s="6">
        <f t="shared" si="4"/>
        <v>0.04861111111</v>
      </c>
      <c r="I1065" s="6">
        <f t="shared" si="5"/>
        <v>0.9513888889</v>
      </c>
      <c r="J1065" s="1">
        <f t="shared" si="6"/>
        <v>14</v>
      </c>
      <c r="K1065" s="1" t="str">
        <f t="shared" si="7"/>
        <v>Over Forecast</v>
      </c>
      <c r="L1065" s="1">
        <f>F1065+J1064</f>
        <v>34</v>
      </c>
      <c r="M1065" s="7">
        <f t="shared" si="10"/>
        <v>58.98966165</v>
      </c>
      <c r="N1065" s="7">
        <f t="shared" si="8"/>
        <v>0.5763721819</v>
      </c>
      <c r="O1065" s="2" t="str">
        <f t="shared" si="9"/>
        <v>Acceptable</v>
      </c>
    </row>
    <row r="1066" ht="15.75" customHeight="1">
      <c r="A1066" s="1" t="s">
        <v>118</v>
      </c>
      <c r="B1066" s="1" t="s">
        <v>105</v>
      </c>
      <c r="C1066" s="1" t="s">
        <v>25</v>
      </c>
      <c r="D1066" s="1">
        <v>264.0</v>
      </c>
      <c r="E1066" s="1">
        <v>264.0</v>
      </c>
      <c r="F1066" s="1">
        <f t="shared" si="2"/>
        <v>0</v>
      </c>
      <c r="G1066" s="1">
        <f t="shared" si="3"/>
        <v>0</v>
      </c>
      <c r="H1066" s="6">
        <f t="shared" si="4"/>
        <v>0</v>
      </c>
      <c r="I1066" s="6">
        <f t="shared" si="5"/>
        <v>1</v>
      </c>
      <c r="J1066" s="1">
        <f t="shared" si="6"/>
        <v>0</v>
      </c>
      <c r="K1066" s="1" t="str">
        <f t="shared" si="7"/>
        <v>Accurate Forecast</v>
      </c>
      <c r="L1066" s="1">
        <f>F1066</f>
        <v>0</v>
      </c>
      <c r="M1066" s="7">
        <f t="shared" si="10"/>
        <v>58.9342723</v>
      </c>
      <c r="N1066" s="7">
        <f t="shared" si="8"/>
        <v>0</v>
      </c>
      <c r="O1066" s="2" t="str">
        <f t="shared" si="9"/>
        <v>Acceptable</v>
      </c>
    </row>
    <row r="1067" ht="15.75" customHeight="1">
      <c r="A1067" s="1" t="s">
        <v>118</v>
      </c>
      <c r="B1067" s="1" t="s">
        <v>105</v>
      </c>
      <c r="C1067" s="1" t="s">
        <v>26</v>
      </c>
      <c r="D1067" s="1">
        <v>255.0</v>
      </c>
      <c r="E1067" s="1">
        <v>200.0</v>
      </c>
      <c r="F1067" s="1">
        <f t="shared" si="2"/>
        <v>-55</v>
      </c>
      <c r="G1067" s="1">
        <f t="shared" si="3"/>
        <v>55</v>
      </c>
      <c r="H1067" s="6">
        <f t="shared" si="4"/>
        <v>0.2156862745</v>
      </c>
      <c r="I1067" s="6">
        <f t="shared" si="5"/>
        <v>0.7843137255</v>
      </c>
      <c r="J1067" s="1">
        <f t="shared" si="6"/>
        <v>-55</v>
      </c>
      <c r="K1067" s="1" t="str">
        <f t="shared" si="7"/>
        <v>Under Forecast</v>
      </c>
      <c r="L1067" s="1">
        <f>F1067+J1066</f>
        <v>-55</v>
      </c>
      <c r="M1067" s="7">
        <f t="shared" si="10"/>
        <v>58.93058161</v>
      </c>
      <c r="N1067" s="7">
        <f t="shared" si="8"/>
        <v>-0.9333014963</v>
      </c>
      <c r="O1067" s="2" t="str">
        <f t="shared" si="9"/>
        <v>Acceptable</v>
      </c>
    </row>
    <row r="1068" ht="15.75" customHeight="1">
      <c r="A1068" s="1" t="s">
        <v>118</v>
      </c>
      <c r="B1068" s="1" t="s">
        <v>105</v>
      </c>
      <c r="C1068" s="1" t="s">
        <v>27</v>
      </c>
      <c r="D1068" s="1">
        <v>233.0</v>
      </c>
      <c r="E1068" s="1">
        <v>216.0</v>
      </c>
      <c r="F1068" s="1">
        <f t="shared" si="2"/>
        <v>-17</v>
      </c>
      <c r="G1068" s="1">
        <f t="shared" si="3"/>
        <v>17</v>
      </c>
      <c r="H1068" s="6">
        <f t="shared" si="4"/>
        <v>0.07296137339</v>
      </c>
      <c r="I1068" s="6">
        <f t="shared" si="5"/>
        <v>0.9270386266</v>
      </c>
      <c r="J1068" s="1">
        <f t="shared" si="6"/>
        <v>-17</v>
      </c>
      <c r="K1068" s="1" t="str">
        <f t="shared" si="7"/>
        <v>Under Forecast</v>
      </c>
      <c r="L1068" s="1">
        <f>F1068</f>
        <v>-17</v>
      </c>
      <c r="M1068" s="7">
        <f t="shared" si="10"/>
        <v>58.89128397</v>
      </c>
      <c r="N1068" s="7">
        <f t="shared" si="8"/>
        <v>-0.2886675048</v>
      </c>
      <c r="O1068" s="2" t="str">
        <f t="shared" si="9"/>
        <v>Acceptable</v>
      </c>
    </row>
    <row r="1069" ht="15.75" customHeight="1">
      <c r="A1069" s="1" t="s">
        <v>118</v>
      </c>
      <c r="B1069" s="1" t="s">
        <v>105</v>
      </c>
      <c r="C1069" s="1" t="s">
        <v>28</v>
      </c>
      <c r="D1069" s="1">
        <v>238.0</v>
      </c>
      <c r="E1069" s="1">
        <v>183.0</v>
      </c>
      <c r="F1069" s="1">
        <f t="shared" si="2"/>
        <v>-55</v>
      </c>
      <c r="G1069" s="1">
        <f t="shared" si="3"/>
        <v>55</v>
      </c>
      <c r="H1069" s="6">
        <f t="shared" si="4"/>
        <v>0.231092437</v>
      </c>
      <c r="I1069" s="6">
        <f t="shared" si="5"/>
        <v>0.768907563</v>
      </c>
      <c r="J1069" s="1">
        <f t="shared" si="6"/>
        <v>-55</v>
      </c>
      <c r="K1069" s="1" t="str">
        <f t="shared" si="7"/>
        <v>Under Forecast</v>
      </c>
      <c r="L1069" s="1">
        <f>F1069+J1068</f>
        <v>-72</v>
      </c>
      <c r="M1069" s="7">
        <f t="shared" si="10"/>
        <v>58.88764045</v>
      </c>
      <c r="N1069" s="7">
        <f t="shared" si="8"/>
        <v>-1.22266743</v>
      </c>
      <c r="O1069" s="2" t="str">
        <f t="shared" si="9"/>
        <v>Acceptable</v>
      </c>
    </row>
    <row r="1070" ht="15.75" customHeight="1">
      <c r="A1070" s="1" t="s">
        <v>119</v>
      </c>
      <c r="B1070" s="1" t="s">
        <v>105</v>
      </c>
      <c r="C1070" s="1" t="s">
        <v>17</v>
      </c>
      <c r="D1070" s="1">
        <v>174.0</v>
      </c>
      <c r="E1070" s="1">
        <v>160.0</v>
      </c>
      <c r="F1070" s="1">
        <f t="shared" si="2"/>
        <v>-14</v>
      </c>
      <c r="G1070" s="1">
        <f t="shared" si="3"/>
        <v>14</v>
      </c>
      <c r="H1070" s="6">
        <f t="shared" si="4"/>
        <v>0.08045977011</v>
      </c>
      <c r="I1070" s="6">
        <f t="shared" si="5"/>
        <v>0.9195402299</v>
      </c>
      <c r="J1070" s="1">
        <f t="shared" si="6"/>
        <v>-14</v>
      </c>
      <c r="K1070" s="1" t="str">
        <f t="shared" si="7"/>
        <v>Under Forecast</v>
      </c>
      <c r="L1070" s="1">
        <f>F1070</f>
        <v>-14</v>
      </c>
      <c r="M1070" s="7">
        <f t="shared" si="10"/>
        <v>58.84565014</v>
      </c>
      <c r="N1070" s="7">
        <f t="shared" si="8"/>
        <v>-0.2379105332</v>
      </c>
      <c r="O1070" s="2" t="str">
        <f t="shared" si="9"/>
        <v>Acceptable</v>
      </c>
    </row>
    <row r="1071" ht="15.75" customHeight="1">
      <c r="A1071" s="1" t="s">
        <v>119</v>
      </c>
      <c r="B1071" s="1" t="s">
        <v>105</v>
      </c>
      <c r="C1071" s="1" t="s">
        <v>18</v>
      </c>
      <c r="D1071" s="1">
        <v>180.0</v>
      </c>
      <c r="E1071" s="1">
        <v>182.0</v>
      </c>
      <c r="F1071" s="1">
        <f t="shared" si="2"/>
        <v>2</v>
      </c>
      <c r="G1071" s="1">
        <f t="shared" si="3"/>
        <v>2</v>
      </c>
      <c r="H1071" s="6">
        <f t="shared" si="4"/>
        <v>0.01111111111</v>
      </c>
      <c r="I1071" s="6">
        <f t="shared" si="5"/>
        <v>0.9888888889</v>
      </c>
      <c r="J1071" s="1">
        <f t="shared" si="6"/>
        <v>2</v>
      </c>
      <c r="K1071" s="1" t="str">
        <f t="shared" si="7"/>
        <v>Over Forecast</v>
      </c>
      <c r="L1071" s="1">
        <f>F1071+J1070</f>
        <v>-12</v>
      </c>
      <c r="M1071" s="7">
        <f t="shared" si="10"/>
        <v>58.79252336</v>
      </c>
      <c r="N1071" s="7">
        <f t="shared" si="8"/>
        <v>-0.2041075857</v>
      </c>
      <c r="O1071" s="2" t="str">
        <f t="shared" si="9"/>
        <v>Acceptable</v>
      </c>
    </row>
    <row r="1072" ht="15.75" customHeight="1">
      <c r="A1072" s="1" t="s">
        <v>119</v>
      </c>
      <c r="B1072" s="1" t="s">
        <v>105</v>
      </c>
      <c r="C1072" s="1" t="s">
        <v>19</v>
      </c>
      <c r="D1072" s="1">
        <v>187.0</v>
      </c>
      <c r="E1072" s="1">
        <v>172.0</v>
      </c>
      <c r="F1072" s="1">
        <f t="shared" si="2"/>
        <v>-15</v>
      </c>
      <c r="G1072" s="1">
        <f t="shared" si="3"/>
        <v>15</v>
      </c>
      <c r="H1072" s="6">
        <f t="shared" si="4"/>
        <v>0.08021390374</v>
      </c>
      <c r="I1072" s="6">
        <f t="shared" si="5"/>
        <v>0.9197860963</v>
      </c>
      <c r="J1072" s="1">
        <f t="shared" si="6"/>
        <v>-15</v>
      </c>
      <c r="K1072" s="1" t="str">
        <f t="shared" si="7"/>
        <v>Under Forecast</v>
      </c>
      <c r="L1072" s="1">
        <f>F1072</f>
        <v>-15</v>
      </c>
      <c r="M1072" s="7">
        <f t="shared" si="10"/>
        <v>58.75163399</v>
      </c>
      <c r="N1072" s="7">
        <f t="shared" si="8"/>
        <v>-0.2553120481</v>
      </c>
      <c r="O1072" s="2" t="str">
        <f t="shared" si="9"/>
        <v>Acceptable</v>
      </c>
    </row>
    <row r="1073" ht="15.75" customHeight="1">
      <c r="A1073" s="1" t="s">
        <v>119</v>
      </c>
      <c r="B1073" s="1" t="s">
        <v>105</v>
      </c>
      <c r="C1073" s="1" t="s">
        <v>20</v>
      </c>
      <c r="D1073" s="1">
        <v>192.0</v>
      </c>
      <c r="E1073" s="1">
        <v>191.0</v>
      </c>
      <c r="F1073" s="1">
        <f t="shared" si="2"/>
        <v>-1</v>
      </c>
      <c r="G1073" s="1">
        <f t="shared" si="3"/>
        <v>1</v>
      </c>
      <c r="H1073" s="6">
        <f t="shared" si="4"/>
        <v>0.005208333333</v>
      </c>
      <c r="I1073" s="6">
        <f t="shared" si="5"/>
        <v>0.9947916667</v>
      </c>
      <c r="J1073" s="1">
        <f t="shared" si="6"/>
        <v>-1</v>
      </c>
      <c r="K1073" s="1" t="str">
        <f t="shared" si="7"/>
        <v>Under Forecast</v>
      </c>
      <c r="L1073" s="1">
        <f>F1073+J1072</f>
        <v>-16</v>
      </c>
      <c r="M1073" s="7">
        <f t="shared" si="10"/>
        <v>58.69776119</v>
      </c>
      <c r="N1073" s="7">
        <f t="shared" si="8"/>
        <v>-0.2725827983</v>
      </c>
      <c r="O1073" s="2" t="str">
        <f t="shared" si="9"/>
        <v>Acceptable</v>
      </c>
    </row>
    <row r="1074" ht="15.75" customHeight="1">
      <c r="A1074" s="1" t="s">
        <v>119</v>
      </c>
      <c r="B1074" s="1" t="s">
        <v>105</v>
      </c>
      <c r="C1074" s="1" t="s">
        <v>21</v>
      </c>
      <c r="D1074" s="1">
        <v>200.0</v>
      </c>
      <c r="E1074" s="1">
        <v>225.0</v>
      </c>
      <c r="F1074" s="1">
        <f t="shared" si="2"/>
        <v>25</v>
      </c>
      <c r="G1074" s="1">
        <f t="shared" si="3"/>
        <v>25</v>
      </c>
      <c r="H1074" s="6">
        <f t="shared" si="4"/>
        <v>0.125</v>
      </c>
      <c r="I1074" s="6">
        <f t="shared" si="5"/>
        <v>0.875</v>
      </c>
      <c r="J1074" s="1">
        <f t="shared" si="6"/>
        <v>25</v>
      </c>
      <c r="K1074" s="1" t="str">
        <f t="shared" si="7"/>
        <v>Over Forecast</v>
      </c>
      <c r="L1074" s="1">
        <f>F1074</f>
        <v>25</v>
      </c>
      <c r="M1074" s="7">
        <f t="shared" si="10"/>
        <v>58.66635601</v>
      </c>
      <c r="N1074" s="7">
        <f t="shared" si="8"/>
        <v>0.4261386202</v>
      </c>
      <c r="O1074" s="2" t="str">
        <f t="shared" si="9"/>
        <v>Acceptable</v>
      </c>
    </row>
    <row r="1075" ht="15.75" customHeight="1">
      <c r="A1075" s="1" t="s">
        <v>119</v>
      </c>
      <c r="B1075" s="1" t="s">
        <v>105</v>
      </c>
      <c r="C1075" s="1" t="s">
        <v>22</v>
      </c>
      <c r="D1075" s="1">
        <v>184.0</v>
      </c>
      <c r="E1075" s="1">
        <v>205.0</v>
      </c>
      <c r="F1075" s="1">
        <f t="shared" si="2"/>
        <v>21</v>
      </c>
      <c r="G1075" s="1">
        <f t="shared" si="3"/>
        <v>21</v>
      </c>
      <c r="H1075" s="6">
        <f t="shared" si="4"/>
        <v>0.1141304348</v>
      </c>
      <c r="I1075" s="6">
        <f t="shared" si="5"/>
        <v>0.8858695652</v>
      </c>
      <c r="J1075" s="1">
        <f t="shared" si="6"/>
        <v>21</v>
      </c>
      <c r="K1075" s="1" t="str">
        <f t="shared" si="7"/>
        <v>Over Forecast</v>
      </c>
      <c r="L1075" s="1">
        <f>F1075+J1074</f>
        <v>46</v>
      </c>
      <c r="M1075" s="7">
        <f t="shared" si="10"/>
        <v>58.63128492</v>
      </c>
      <c r="N1075" s="7">
        <f t="shared" si="8"/>
        <v>0.7845640781</v>
      </c>
      <c r="O1075" s="2" t="str">
        <f t="shared" si="9"/>
        <v>Acceptable</v>
      </c>
    </row>
    <row r="1076" ht="15.75" customHeight="1">
      <c r="A1076" s="1" t="s">
        <v>119</v>
      </c>
      <c r="B1076" s="1" t="s">
        <v>105</v>
      </c>
      <c r="C1076" s="1" t="s">
        <v>23</v>
      </c>
      <c r="D1076" s="1">
        <v>220.0</v>
      </c>
      <c r="E1076" s="1">
        <v>185.0</v>
      </c>
      <c r="F1076" s="1">
        <f t="shared" si="2"/>
        <v>-35</v>
      </c>
      <c r="G1076" s="1">
        <f t="shared" si="3"/>
        <v>35</v>
      </c>
      <c r="H1076" s="6">
        <f t="shared" si="4"/>
        <v>0.1590909091</v>
      </c>
      <c r="I1076" s="6">
        <f t="shared" si="5"/>
        <v>0.8409090909</v>
      </c>
      <c r="J1076" s="1">
        <f t="shared" si="6"/>
        <v>-35</v>
      </c>
      <c r="K1076" s="1" t="str">
        <f t="shared" si="7"/>
        <v>Under Forecast</v>
      </c>
      <c r="L1076" s="1">
        <f>F1076</f>
        <v>-35</v>
      </c>
      <c r="M1076" s="7">
        <f t="shared" si="10"/>
        <v>58.60930233</v>
      </c>
      <c r="N1076" s="7">
        <f t="shared" si="8"/>
        <v>-0.5971748274</v>
      </c>
      <c r="O1076" s="2" t="str">
        <f t="shared" si="9"/>
        <v>Acceptable</v>
      </c>
    </row>
    <row r="1077" ht="15.75" customHeight="1">
      <c r="A1077" s="1" t="s">
        <v>119</v>
      </c>
      <c r="B1077" s="1" t="s">
        <v>105</v>
      </c>
      <c r="C1077" s="1" t="s">
        <v>24</v>
      </c>
      <c r="D1077" s="1">
        <v>197.0</v>
      </c>
      <c r="E1077" s="1">
        <v>181.0</v>
      </c>
      <c r="F1077" s="1">
        <f t="shared" si="2"/>
        <v>-16</v>
      </c>
      <c r="G1077" s="1">
        <f t="shared" si="3"/>
        <v>16</v>
      </c>
      <c r="H1077" s="6">
        <f t="shared" si="4"/>
        <v>0.08121827411</v>
      </c>
      <c r="I1077" s="6">
        <f t="shared" si="5"/>
        <v>0.9187817259</v>
      </c>
      <c r="J1077" s="1">
        <f t="shared" si="6"/>
        <v>-16</v>
      </c>
      <c r="K1077" s="1" t="str">
        <f t="shared" si="7"/>
        <v>Under Forecast</v>
      </c>
      <c r="L1077" s="1">
        <f>F1077+J1076</f>
        <v>-51</v>
      </c>
      <c r="M1077" s="7">
        <f t="shared" si="10"/>
        <v>58.5697026</v>
      </c>
      <c r="N1077" s="7">
        <f t="shared" si="8"/>
        <v>-0.8707573666</v>
      </c>
      <c r="O1077" s="2" t="str">
        <f t="shared" si="9"/>
        <v>Acceptable</v>
      </c>
    </row>
    <row r="1078" ht="15.75" customHeight="1">
      <c r="A1078" s="1" t="s">
        <v>119</v>
      </c>
      <c r="B1078" s="1" t="s">
        <v>105</v>
      </c>
      <c r="C1078" s="1" t="s">
        <v>25</v>
      </c>
      <c r="D1078" s="1">
        <v>177.0</v>
      </c>
      <c r="E1078" s="1">
        <v>159.0</v>
      </c>
      <c r="F1078" s="1">
        <f t="shared" si="2"/>
        <v>-18</v>
      </c>
      <c r="G1078" s="1">
        <f t="shared" si="3"/>
        <v>18</v>
      </c>
      <c r="H1078" s="6">
        <f t="shared" si="4"/>
        <v>0.1016949153</v>
      </c>
      <c r="I1078" s="6">
        <f t="shared" si="5"/>
        <v>0.8983050847</v>
      </c>
      <c r="J1078" s="1">
        <f t="shared" si="6"/>
        <v>-18</v>
      </c>
      <c r="K1078" s="1" t="str">
        <f t="shared" si="7"/>
        <v>Under Forecast</v>
      </c>
      <c r="L1078" s="1">
        <f>F1078</f>
        <v>-18</v>
      </c>
      <c r="M1078" s="7">
        <f t="shared" si="10"/>
        <v>58.53203343</v>
      </c>
      <c r="N1078" s="7">
        <f t="shared" si="8"/>
        <v>-0.3075239138</v>
      </c>
      <c r="O1078" s="2" t="str">
        <f t="shared" si="9"/>
        <v>Acceptable</v>
      </c>
    </row>
    <row r="1079" ht="15.75" customHeight="1">
      <c r="A1079" s="1" t="s">
        <v>119</v>
      </c>
      <c r="B1079" s="1" t="s">
        <v>105</v>
      </c>
      <c r="C1079" s="1" t="s">
        <v>26</v>
      </c>
      <c r="D1079" s="1">
        <v>167.0</v>
      </c>
      <c r="E1079" s="1">
        <v>140.0</v>
      </c>
      <c r="F1079" s="1">
        <f t="shared" si="2"/>
        <v>-27</v>
      </c>
      <c r="G1079" s="1">
        <f t="shared" si="3"/>
        <v>27</v>
      </c>
      <c r="H1079" s="6">
        <f t="shared" si="4"/>
        <v>0.1616766467</v>
      </c>
      <c r="I1079" s="6">
        <f t="shared" si="5"/>
        <v>0.8383233533</v>
      </c>
      <c r="J1079" s="1">
        <f t="shared" si="6"/>
        <v>-27</v>
      </c>
      <c r="K1079" s="1" t="str">
        <f t="shared" si="7"/>
        <v>Under Forecast</v>
      </c>
      <c r="L1079" s="1">
        <f>F1079+J1078</f>
        <v>-45</v>
      </c>
      <c r="M1079" s="7">
        <f t="shared" si="10"/>
        <v>58.50278293</v>
      </c>
      <c r="N1079" s="7">
        <f t="shared" si="8"/>
        <v>-0.7691941775</v>
      </c>
      <c r="O1079" s="2" t="str">
        <f t="shared" si="9"/>
        <v>Acceptable</v>
      </c>
    </row>
    <row r="1080" ht="15.75" customHeight="1">
      <c r="A1080" s="1" t="s">
        <v>119</v>
      </c>
      <c r="B1080" s="1" t="s">
        <v>105</v>
      </c>
      <c r="C1080" s="1" t="s">
        <v>27</v>
      </c>
      <c r="D1080" s="1">
        <v>191.0</v>
      </c>
      <c r="E1080" s="1">
        <v>160.0</v>
      </c>
      <c r="F1080" s="1">
        <f t="shared" si="2"/>
        <v>-31</v>
      </c>
      <c r="G1080" s="1">
        <f t="shared" si="3"/>
        <v>31</v>
      </c>
      <c r="H1080" s="6">
        <f t="shared" si="4"/>
        <v>0.1623036649</v>
      </c>
      <c r="I1080" s="6">
        <f t="shared" si="5"/>
        <v>0.8376963351</v>
      </c>
      <c r="J1080" s="1">
        <f t="shared" si="6"/>
        <v>-31</v>
      </c>
      <c r="K1080" s="1" t="str">
        <f t="shared" si="7"/>
        <v>Under Forecast</v>
      </c>
      <c r="L1080" s="1">
        <f>F1080</f>
        <v>-31</v>
      </c>
      <c r="M1080" s="7">
        <f t="shared" si="10"/>
        <v>58.47729379</v>
      </c>
      <c r="N1080" s="7">
        <f t="shared" si="8"/>
        <v>-0.530120291</v>
      </c>
      <c r="O1080" s="2" t="str">
        <f t="shared" si="9"/>
        <v>Acceptable</v>
      </c>
    </row>
    <row r="1081" ht="15.75" customHeight="1">
      <c r="A1081" s="1" t="s">
        <v>119</v>
      </c>
      <c r="B1081" s="1" t="s">
        <v>105</v>
      </c>
      <c r="C1081" s="1" t="s">
        <v>28</v>
      </c>
      <c r="D1081" s="1">
        <v>185.0</v>
      </c>
      <c r="E1081" s="1">
        <v>178.0</v>
      </c>
      <c r="F1081" s="1">
        <f t="shared" si="2"/>
        <v>-7</v>
      </c>
      <c r="G1081" s="1">
        <f t="shared" si="3"/>
        <v>7</v>
      </c>
      <c r="H1081" s="6">
        <f t="shared" si="4"/>
        <v>0.03783783784</v>
      </c>
      <c r="I1081" s="6">
        <f t="shared" si="5"/>
        <v>0.9621621622</v>
      </c>
      <c r="J1081" s="1">
        <f t="shared" si="6"/>
        <v>-7</v>
      </c>
      <c r="K1081" s="1" t="str">
        <f t="shared" si="7"/>
        <v>Under Forecast</v>
      </c>
      <c r="L1081" s="1">
        <f>F1081+J1080</f>
        <v>-38</v>
      </c>
      <c r="M1081" s="7">
        <f t="shared" si="10"/>
        <v>58.42962963</v>
      </c>
      <c r="N1081" s="7">
        <f t="shared" si="8"/>
        <v>-0.6503549696</v>
      </c>
      <c r="O1081" s="2" t="str">
        <f t="shared" si="9"/>
        <v>Acceptable</v>
      </c>
    </row>
    <row r="1082" ht="15.75" customHeight="1">
      <c r="A1082" s="1" t="s">
        <v>120</v>
      </c>
      <c r="B1082" s="1" t="s">
        <v>121</v>
      </c>
      <c r="C1082" s="1" t="s">
        <v>17</v>
      </c>
      <c r="D1082" s="1">
        <v>162.0</v>
      </c>
      <c r="E1082" s="1">
        <v>156.0</v>
      </c>
      <c r="F1082" s="1">
        <f t="shared" si="2"/>
        <v>-6</v>
      </c>
      <c r="G1082" s="1">
        <f t="shared" si="3"/>
        <v>6</v>
      </c>
      <c r="H1082" s="6">
        <f t="shared" si="4"/>
        <v>0.03703703704</v>
      </c>
      <c r="I1082" s="6">
        <f t="shared" si="5"/>
        <v>0.962962963</v>
      </c>
      <c r="J1082" s="1">
        <f t="shared" si="6"/>
        <v>-6</v>
      </c>
      <c r="K1082" s="1" t="str">
        <f t="shared" si="7"/>
        <v>Under Forecast</v>
      </c>
      <c r="L1082" s="1">
        <f>F1082</f>
        <v>-6</v>
      </c>
      <c r="M1082" s="7">
        <f t="shared" si="10"/>
        <v>58.38112858</v>
      </c>
      <c r="N1082" s="7">
        <f t="shared" si="8"/>
        <v>-0.1027729361</v>
      </c>
      <c r="O1082" s="2" t="str">
        <f t="shared" si="9"/>
        <v>Acceptable</v>
      </c>
    </row>
    <row r="1083" ht="15.75" customHeight="1">
      <c r="A1083" s="1" t="s">
        <v>120</v>
      </c>
      <c r="B1083" s="1" t="s">
        <v>121</v>
      </c>
      <c r="C1083" s="1" t="s">
        <v>18</v>
      </c>
      <c r="D1083" s="1">
        <v>164.0</v>
      </c>
      <c r="E1083" s="1">
        <v>223.0</v>
      </c>
      <c r="F1083" s="1">
        <f t="shared" si="2"/>
        <v>59</v>
      </c>
      <c r="G1083" s="1">
        <f t="shared" si="3"/>
        <v>59</v>
      </c>
      <c r="H1083" s="6">
        <f t="shared" si="4"/>
        <v>0.3597560976</v>
      </c>
      <c r="I1083" s="6">
        <f t="shared" si="5"/>
        <v>0.6402439024</v>
      </c>
      <c r="J1083" s="1">
        <f t="shared" si="6"/>
        <v>59</v>
      </c>
      <c r="K1083" s="1" t="str">
        <f t="shared" si="7"/>
        <v>Over Forecast</v>
      </c>
      <c r="L1083" s="1">
        <f>F1083+J1082</f>
        <v>53</v>
      </c>
      <c r="M1083" s="7">
        <f t="shared" si="10"/>
        <v>58.38170055</v>
      </c>
      <c r="N1083" s="7">
        <f t="shared" si="8"/>
        <v>0.9078187085</v>
      </c>
      <c r="O1083" s="2" t="str">
        <f t="shared" si="9"/>
        <v>Acceptable</v>
      </c>
    </row>
    <row r="1084" ht="15.75" customHeight="1">
      <c r="A1084" s="1" t="s">
        <v>120</v>
      </c>
      <c r="B1084" s="1" t="s">
        <v>121</v>
      </c>
      <c r="C1084" s="1" t="s">
        <v>19</v>
      </c>
      <c r="D1084" s="1">
        <v>153.0</v>
      </c>
      <c r="E1084" s="1">
        <v>120.0</v>
      </c>
      <c r="F1084" s="1">
        <f t="shared" si="2"/>
        <v>-33</v>
      </c>
      <c r="G1084" s="1">
        <f t="shared" si="3"/>
        <v>33</v>
      </c>
      <c r="H1084" s="6">
        <f t="shared" si="4"/>
        <v>0.2156862745</v>
      </c>
      <c r="I1084" s="6">
        <f t="shared" si="5"/>
        <v>0.7843137255</v>
      </c>
      <c r="J1084" s="1">
        <f t="shared" si="6"/>
        <v>-33</v>
      </c>
      <c r="K1084" s="1" t="str">
        <f t="shared" si="7"/>
        <v>Under Forecast</v>
      </c>
      <c r="L1084" s="1">
        <f>F1084</f>
        <v>-33</v>
      </c>
      <c r="M1084" s="7">
        <f t="shared" si="10"/>
        <v>58.35826408</v>
      </c>
      <c r="N1084" s="7">
        <f t="shared" si="8"/>
        <v>-0.5654726116</v>
      </c>
      <c r="O1084" s="2" t="str">
        <f t="shared" si="9"/>
        <v>Acceptable</v>
      </c>
    </row>
    <row r="1085" ht="15.75" customHeight="1">
      <c r="A1085" s="1" t="s">
        <v>120</v>
      </c>
      <c r="B1085" s="1" t="s">
        <v>121</v>
      </c>
      <c r="C1085" s="1" t="s">
        <v>20</v>
      </c>
      <c r="D1085" s="1">
        <v>169.0</v>
      </c>
      <c r="E1085" s="1">
        <v>153.0</v>
      </c>
      <c r="F1085" s="1">
        <f t="shared" si="2"/>
        <v>-16</v>
      </c>
      <c r="G1085" s="1">
        <f t="shared" si="3"/>
        <v>16</v>
      </c>
      <c r="H1085" s="6">
        <f t="shared" si="4"/>
        <v>0.09467455621</v>
      </c>
      <c r="I1085" s="6">
        <f t="shared" si="5"/>
        <v>0.9053254438</v>
      </c>
      <c r="J1085" s="1">
        <f t="shared" si="6"/>
        <v>-16</v>
      </c>
      <c r="K1085" s="1" t="str">
        <f t="shared" si="7"/>
        <v>Under Forecast</v>
      </c>
      <c r="L1085" s="1">
        <f>F1085+J1084</f>
        <v>-49</v>
      </c>
      <c r="M1085" s="7">
        <f t="shared" si="10"/>
        <v>58.31918819</v>
      </c>
      <c r="N1085" s="7">
        <f t="shared" si="8"/>
        <v>-0.8402037394</v>
      </c>
      <c r="O1085" s="2" t="str">
        <f t="shared" si="9"/>
        <v>Acceptable</v>
      </c>
    </row>
    <row r="1086" ht="15.75" customHeight="1">
      <c r="A1086" s="1" t="s">
        <v>120</v>
      </c>
      <c r="B1086" s="1" t="s">
        <v>121</v>
      </c>
      <c r="C1086" s="1" t="s">
        <v>21</v>
      </c>
      <c r="D1086" s="1">
        <v>176.0</v>
      </c>
      <c r="E1086" s="1">
        <v>228.0</v>
      </c>
      <c r="F1086" s="1">
        <f t="shared" si="2"/>
        <v>52</v>
      </c>
      <c r="G1086" s="1">
        <f t="shared" si="3"/>
        <v>52</v>
      </c>
      <c r="H1086" s="6">
        <f t="shared" si="4"/>
        <v>0.2954545455</v>
      </c>
      <c r="I1086" s="6">
        <f t="shared" si="5"/>
        <v>0.7045454545</v>
      </c>
      <c r="J1086" s="1">
        <f t="shared" si="6"/>
        <v>52</v>
      </c>
      <c r="K1086" s="1" t="str">
        <f t="shared" si="7"/>
        <v>Over Forecast</v>
      </c>
      <c r="L1086" s="1">
        <f>F1086</f>
        <v>52</v>
      </c>
      <c r="M1086" s="7">
        <f t="shared" si="10"/>
        <v>58.31336406</v>
      </c>
      <c r="N1086" s="7">
        <f t="shared" si="8"/>
        <v>0.8917338391</v>
      </c>
      <c r="O1086" s="2" t="str">
        <f t="shared" si="9"/>
        <v>Acceptable</v>
      </c>
    </row>
    <row r="1087" ht="15.75" customHeight="1">
      <c r="A1087" s="1" t="s">
        <v>120</v>
      </c>
      <c r="B1087" s="1" t="s">
        <v>121</v>
      </c>
      <c r="C1087" s="1" t="s">
        <v>22</v>
      </c>
      <c r="D1087" s="1">
        <v>192.0</v>
      </c>
      <c r="E1087" s="1">
        <v>202.0</v>
      </c>
      <c r="F1087" s="1">
        <f t="shared" si="2"/>
        <v>10</v>
      </c>
      <c r="G1087" s="1">
        <f t="shared" si="3"/>
        <v>10</v>
      </c>
      <c r="H1087" s="6">
        <f t="shared" si="4"/>
        <v>0.05208333333</v>
      </c>
      <c r="I1087" s="6">
        <f t="shared" si="5"/>
        <v>0.9479166667</v>
      </c>
      <c r="J1087" s="1">
        <f t="shared" si="6"/>
        <v>10</v>
      </c>
      <c r="K1087" s="1" t="str">
        <f t="shared" si="7"/>
        <v>Over Forecast</v>
      </c>
      <c r="L1087" s="1">
        <f>F1087+J1086</f>
        <v>62</v>
      </c>
      <c r="M1087" s="7">
        <f t="shared" si="10"/>
        <v>58.26887661</v>
      </c>
      <c r="N1087" s="7">
        <f t="shared" si="8"/>
        <v>1.06403287</v>
      </c>
      <c r="O1087" s="2" t="str">
        <f t="shared" si="9"/>
        <v>Acceptable</v>
      </c>
    </row>
    <row r="1088" ht="15.75" customHeight="1">
      <c r="A1088" s="1" t="s">
        <v>120</v>
      </c>
      <c r="B1088" s="1" t="s">
        <v>121</v>
      </c>
      <c r="C1088" s="1" t="s">
        <v>23</v>
      </c>
      <c r="D1088" s="1">
        <v>182.0</v>
      </c>
      <c r="E1088" s="1">
        <v>223.0</v>
      </c>
      <c r="F1088" s="1">
        <f t="shared" si="2"/>
        <v>41</v>
      </c>
      <c r="G1088" s="1">
        <f t="shared" si="3"/>
        <v>41</v>
      </c>
      <c r="H1088" s="6">
        <f t="shared" si="4"/>
        <v>0.2252747253</v>
      </c>
      <c r="I1088" s="6">
        <f t="shared" si="5"/>
        <v>0.7747252747</v>
      </c>
      <c r="J1088" s="1">
        <f t="shared" si="6"/>
        <v>41</v>
      </c>
      <c r="K1088" s="1" t="str">
        <f t="shared" si="7"/>
        <v>Over Forecast</v>
      </c>
      <c r="L1088" s="1">
        <f>F1088</f>
        <v>41</v>
      </c>
      <c r="M1088" s="7">
        <f t="shared" si="10"/>
        <v>58.25298988</v>
      </c>
      <c r="N1088" s="7">
        <f t="shared" si="8"/>
        <v>0.7038265346</v>
      </c>
      <c r="O1088" s="2" t="str">
        <f t="shared" si="9"/>
        <v>Acceptable</v>
      </c>
    </row>
    <row r="1089" ht="15.75" customHeight="1">
      <c r="A1089" s="1" t="s">
        <v>120</v>
      </c>
      <c r="B1089" s="1" t="s">
        <v>121</v>
      </c>
      <c r="C1089" s="1" t="s">
        <v>24</v>
      </c>
      <c r="D1089" s="1">
        <v>202.0</v>
      </c>
      <c r="E1089" s="1">
        <v>247.0</v>
      </c>
      <c r="F1089" s="1">
        <f t="shared" si="2"/>
        <v>45</v>
      </c>
      <c r="G1089" s="1">
        <f t="shared" si="3"/>
        <v>45</v>
      </c>
      <c r="H1089" s="6">
        <f t="shared" si="4"/>
        <v>0.2227722772</v>
      </c>
      <c r="I1089" s="6">
        <f t="shared" si="5"/>
        <v>0.7772277228</v>
      </c>
      <c r="J1089" s="1">
        <f t="shared" si="6"/>
        <v>45</v>
      </c>
      <c r="K1089" s="1" t="str">
        <f t="shared" si="7"/>
        <v>Over Forecast</v>
      </c>
      <c r="L1089" s="1">
        <f>F1089+J1088</f>
        <v>86</v>
      </c>
      <c r="M1089" s="7">
        <f t="shared" si="10"/>
        <v>58.24080882</v>
      </c>
      <c r="N1089" s="7">
        <f t="shared" si="8"/>
        <v>1.476627845</v>
      </c>
      <c r="O1089" s="2" t="str">
        <f t="shared" si="9"/>
        <v>Acceptable</v>
      </c>
    </row>
    <row r="1090" ht="15.75" customHeight="1">
      <c r="A1090" s="1" t="s">
        <v>120</v>
      </c>
      <c r="B1090" s="1" t="s">
        <v>121</v>
      </c>
      <c r="C1090" s="1" t="s">
        <v>25</v>
      </c>
      <c r="D1090" s="1">
        <v>159.0</v>
      </c>
      <c r="E1090" s="1">
        <v>171.0</v>
      </c>
      <c r="F1090" s="1">
        <f t="shared" si="2"/>
        <v>12</v>
      </c>
      <c r="G1090" s="1">
        <f t="shared" si="3"/>
        <v>12</v>
      </c>
      <c r="H1090" s="6">
        <f t="shared" si="4"/>
        <v>0.07547169811</v>
      </c>
      <c r="I1090" s="6">
        <f t="shared" si="5"/>
        <v>0.9245283019</v>
      </c>
      <c r="J1090" s="1">
        <f t="shared" si="6"/>
        <v>12</v>
      </c>
      <c r="K1090" s="1" t="str">
        <f t="shared" si="7"/>
        <v>Over Forecast</v>
      </c>
      <c r="L1090" s="1">
        <f>F1090</f>
        <v>12</v>
      </c>
      <c r="M1090" s="7">
        <f t="shared" si="10"/>
        <v>58.19834711</v>
      </c>
      <c r="N1090" s="7">
        <f t="shared" si="8"/>
        <v>0.2061914229</v>
      </c>
      <c r="O1090" s="2" t="str">
        <f t="shared" si="9"/>
        <v>Acceptable</v>
      </c>
    </row>
    <row r="1091" ht="15.75" customHeight="1">
      <c r="A1091" s="1" t="s">
        <v>120</v>
      </c>
      <c r="B1091" s="1" t="s">
        <v>121</v>
      </c>
      <c r="C1091" s="1" t="s">
        <v>26</v>
      </c>
      <c r="D1091" s="1">
        <v>159.0</v>
      </c>
      <c r="E1091" s="1">
        <v>123.0</v>
      </c>
      <c r="F1091" s="1">
        <f t="shared" si="2"/>
        <v>-36</v>
      </c>
      <c r="G1091" s="1">
        <f t="shared" si="3"/>
        <v>36</v>
      </c>
      <c r="H1091" s="6">
        <f t="shared" si="4"/>
        <v>0.2264150943</v>
      </c>
      <c r="I1091" s="6">
        <f t="shared" si="5"/>
        <v>0.7735849057</v>
      </c>
      <c r="J1091" s="1">
        <f t="shared" si="6"/>
        <v>-36</v>
      </c>
      <c r="K1091" s="1" t="str">
        <f t="shared" si="7"/>
        <v>Under Forecast</v>
      </c>
      <c r="L1091" s="1">
        <f>F1091+J1090</f>
        <v>-24</v>
      </c>
      <c r="M1091" s="7">
        <f t="shared" si="10"/>
        <v>58.17798165</v>
      </c>
      <c r="N1091" s="7">
        <f t="shared" si="8"/>
        <v>-0.4125272022</v>
      </c>
      <c r="O1091" s="2" t="str">
        <f t="shared" si="9"/>
        <v>Acceptable</v>
      </c>
    </row>
    <row r="1092" ht="15.75" customHeight="1">
      <c r="A1092" s="1" t="s">
        <v>120</v>
      </c>
      <c r="B1092" s="1" t="s">
        <v>121</v>
      </c>
      <c r="C1092" s="1" t="s">
        <v>27</v>
      </c>
      <c r="D1092" s="1">
        <v>158.0</v>
      </c>
      <c r="E1092" s="1">
        <v>166.0</v>
      </c>
      <c r="F1092" s="1">
        <f t="shared" si="2"/>
        <v>8</v>
      </c>
      <c r="G1092" s="1">
        <f t="shared" si="3"/>
        <v>8</v>
      </c>
      <c r="H1092" s="6">
        <f t="shared" si="4"/>
        <v>0.05063291139</v>
      </c>
      <c r="I1092" s="6">
        <f t="shared" si="5"/>
        <v>0.9493670886</v>
      </c>
      <c r="J1092" s="1">
        <f t="shared" si="6"/>
        <v>8</v>
      </c>
      <c r="K1092" s="1" t="str">
        <f t="shared" si="7"/>
        <v>Over Forecast</v>
      </c>
      <c r="L1092" s="1">
        <f>F1092</f>
        <v>8</v>
      </c>
      <c r="M1092" s="7">
        <f t="shared" si="10"/>
        <v>58.131989</v>
      </c>
      <c r="N1092" s="7">
        <f t="shared" si="8"/>
        <v>0.1376178613</v>
      </c>
      <c r="O1092" s="2" t="str">
        <f t="shared" si="9"/>
        <v>Acceptable</v>
      </c>
    </row>
    <row r="1093" ht="15.75" customHeight="1">
      <c r="A1093" s="1" t="s">
        <v>120</v>
      </c>
      <c r="B1093" s="1" t="s">
        <v>121</v>
      </c>
      <c r="C1093" s="1" t="s">
        <v>28</v>
      </c>
      <c r="D1093" s="1">
        <v>176.0</v>
      </c>
      <c r="E1093" s="1">
        <v>116.0</v>
      </c>
      <c r="F1093" s="1">
        <f t="shared" si="2"/>
        <v>-60</v>
      </c>
      <c r="G1093" s="1">
        <f t="shared" si="3"/>
        <v>60</v>
      </c>
      <c r="H1093" s="6">
        <f t="shared" si="4"/>
        <v>0.3409090909</v>
      </c>
      <c r="I1093" s="6">
        <f t="shared" si="5"/>
        <v>0.6590909091</v>
      </c>
      <c r="J1093" s="1">
        <f t="shared" si="6"/>
        <v>-60</v>
      </c>
      <c r="K1093" s="1" t="str">
        <f t="shared" si="7"/>
        <v>Under Forecast</v>
      </c>
      <c r="L1093" s="1">
        <f>F1093+J1092</f>
        <v>-52</v>
      </c>
      <c r="M1093" s="7">
        <f t="shared" si="10"/>
        <v>58.13369963</v>
      </c>
      <c r="N1093" s="7">
        <f t="shared" si="8"/>
        <v>-0.8944897766</v>
      </c>
      <c r="O1093" s="2" t="str">
        <f t="shared" si="9"/>
        <v>Acceptable</v>
      </c>
    </row>
    <row r="1094" ht="15.75" customHeight="1">
      <c r="A1094" s="1" t="s">
        <v>122</v>
      </c>
      <c r="B1094" s="1" t="s">
        <v>121</v>
      </c>
      <c r="C1094" s="1" t="s">
        <v>17</v>
      </c>
      <c r="D1094" s="1">
        <v>242.0</v>
      </c>
      <c r="E1094" s="1">
        <v>180.0</v>
      </c>
      <c r="F1094" s="1">
        <f t="shared" si="2"/>
        <v>-62</v>
      </c>
      <c r="G1094" s="1">
        <f t="shared" si="3"/>
        <v>62</v>
      </c>
      <c r="H1094" s="6">
        <f t="shared" si="4"/>
        <v>0.2561983471</v>
      </c>
      <c r="I1094" s="6">
        <f t="shared" si="5"/>
        <v>0.7438016529</v>
      </c>
      <c r="J1094" s="1">
        <f t="shared" si="6"/>
        <v>-62</v>
      </c>
      <c r="K1094" s="1" t="str">
        <f t="shared" si="7"/>
        <v>Under Forecast</v>
      </c>
      <c r="L1094" s="1">
        <f>F1094</f>
        <v>-62</v>
      </c>
      <c r="M1094" s="7">
        <f t="shared" si="10"/>
        <v>58.13723696</v>
      </c>
      <c r="N1094" s="7">
        <f t="shared" si="8"/>
        <v>-1.06644215</v>
      </c>
      <c r="O1094" s="2" t="str">
        <f t="shared" si="9"/>
        <v>Acceptable</v>
      </c>
    </row>
    <row r="1095" ht="15.75" customHeight="1">
      <c r="A1095" s="1" t="s">
        <v>122</v>
      </c>
      <c r="B1095" s="1" t="s">
        <v>121</v>
      </c>
      <c r="C1095" s="1" t="s">
        <v>18</v>
      </c>
      <c r="D1095" s="1">
        <v>254.0</v>
      </c>
      <c r="E1095" s="1">
        <v>317.0</v>
      </c>
      <c r="F1095" s="1">
        <f t="shared" si="2"/>
        <v>63</v>
      </c>
      <c r="G1095" s="1">
        <f t="shared" si="3"/>
        <v>63</v>
      </c>
      <c r="H1095" s="6">
        <f t="shared" si="4"/>
        <v>0.2480314961</v>
      </c>
      <c r="I1095" s="6">
        <f t="shared" si="5"/>
        <v>0.7519685039</v>
      </c>
      <c r="J1095" s="1">
        <f t="shared" si="6"/>
        <v>63</v>
      </c>
      <c r="K1095" s="1" t="str">
        <f t="shared" si="7"/>
        <v>Over Forecast</v>
      </c>
      <c r="L1095" s="1">
        <f>F1095+J1094</f>
        <v>1</v>
      </c>
      <c r="M1095" s="7">
        <f t="shared" si="10"/>
        <v>58.1416819</v>
      </c>
      <c r="N1095" s="7">
        <f t="shared" si="8"/>
        <v>0.01719936485</v>
      </c>
      <c r="O1095" s="2" t="str">
        <f t="shared" si="9"/>
        <v>Acceptable</v>
      </c>
    </row>
    <row r="1096" ht="15.75" customHeight="1">
      <c r="A1096" s="1" t="s">
        <v>122</v>
      </c>
      <c r="B1096" s="1" t="s">
        <v>121</v>
      </c>
      <c r="C1096" s="1" t="s">
        <v>19</v>
      </c>
      <c r="D1096" s="1">
        <v>248.0</v>
      </c>
      <c r="E1096" s="1">
        <v>177.0</v>
      </c>
      <c r="F1096" s="1">
        <f t="shared" si="2"/>
        <v>-71</v>
      </c>
      <c r="G1096" s="1">
        <f t="shared" si="3"/>
        <v>71</v>
      </c>
      <c r="H1096" s="6">
        <f t="shared" si="4"/>
        <v>0.2862903226</v>
      </c>
      <c r="I1096" s="6">
        <f t="shared" si="5"/>
        <v>0.7137096774</v>
      </c>
      <c r="J1096" s="1">
        <f t="shared" si="6"/>
        <v>-71</v>
      </c>
      <c r="K1096" s="1" t="str">
        <f t="shared" si="7"/>
        <v>Under Forecast</v>
      </c>
      <c r="L1096" s="1">
        <f>F1096</f>
        <v>-71</v>
      </c>
      <c r="M1096" s="7">
        <f t="shared" si="10"/>
        <v>58.15342466</v>
      </c>
      <c r="N1096" s="7">
        <f t="shared" si="8"/>
        <v>-1.22090832</v>
      </c>
      <c r="O1096" s="2" t="str">
        <f t="shared" si="9"/>
        <v>Acceptable</v>
      </c>
    </row>
    <row r="1097" ht="15.75" customHeight="1">
      <c r="A1097" s="1" t="s">
        <v>122</v>
      </c>
      <c r="B1097" s="1" t="s">
        <v>121</v>
      </c>
      <c r="C1097" s="1" t="s">
        <v>20</v>
      </c>
      <c r="D1097" s="1">
        <v>273.0</v>
      </c>
      <c r="E1097" s="1">
        <v>383.0</v>
      </c>
      <c r="F1097" s="1">
        <f t="shared" si="2"/>
        <v>110</v>
      </c>
      <c r="G1097" s="1">
        <f t="shared" si="3"/>
        <v>110</v>
      </c>
      <c r="H1097" s="6">
        <f t="shared" si="4"/>
        <v>0.4029304029</v>
      </c>
      <c r="I1097" s="6">
        <f t="shared" si="5"/>
        <v>0.5970695971</v>
      </c>
      <c r="J1097" s="1">
        <f t="shared" si="6"/>
        <v>110</v>
      </c>
      <c r="K1097" s="1" t="str">
        <f t="shared" si="7"/>
        <v>Over Forecast</v>
      </c>
      <c r="L1097" s="1">
        <f>F1097+J1096</f>
        <v>39</v>
      </c>
      <c r="M1097" s="7">
        <f t="shared" si="10"/>
        <v>58.20072993</v>
      </c>
      <c r="N1097" s="7">
        <f t="shared" si="8"/>
        <v>0.6700946887</v>
      </c>
      <c r="O1097" s="2" t="str">
        <f t="shared" si="9"/>
        <v>Acceptable</v>
      </c>
    </row>
    <row r="1098" ht="15.75" customHeight="1">
      <c r="A1098" s="1" t="s">
        <v>122</v>
      </c>
      <c r="B1098" s="1" t="s">
        <v>121</v>
      </c>
      <c r="C1098" s="1" t="s">
        <v>21</v>
      </c>
      <c r="D1098" s="1">
        <v>302.0</v>
      </c>
      <c r="E1098" s="1">
        <v>360.0</v>
      </c>
      <c r="F1098" s="1">
        <f t="shared" si="2"/>
        <v>58</v>
      </c>
      <c r="G1098" s="1">
        <f t="shared" si="3"/>
        <v>58</v>
      </c>
      <c r="H1098" s="6">
        <f t="shared" si="4"/>
        <v>0.1920529801</v>
      </c>
      <c r="I1098" s="6">
        <f t="shared" si="5"/>
        <v>0.8079470199</v>
      </c>
      <c r="J1098" s="1">
        <f t="shared" si="6"/>
        <v>58</v>
      </c>
      <c r="K1098" s="1" t="str">
        <f t="shared" si="7"/>
        <v>Over Forecast</v>
      </c>
      <c r="L1098" s="1">
        <f>F1098</f>
        <v>58</v>
      </c>
      <c r="M1098" s="7">
        <f t="shared" si="10"/>
        <v>58.20054695</v>
      </c>
      <c r="N1098" s="7">
        <f t="shared" si="8"/>
        <v>0.9965542086</v>
      </c>
      <c r="O1098" s="2" t="str">
        <f t="shared" si="9"/>
        <v>Acceptable</v>
      </c>
    </row>
    <row r="1099" ht="15.75" customHeight="1">
      <c r="A1099" s="1" t="s">
        <v>122</v>
      </c>
      <c r="B1099" s="1" t="s">
        <v>121</v>
      </c>
      <c r="C1099" s="1" t="s">
        <v>22</v>
      </c>
      <c r="D1099" s="1">
        <v>292.0</v>
      </c>
      <c r="E1099" s="1">
        <v>328.0</v>
      </c>
      <c r="F1099" s="1">
        <f t="shared" si="2"/>
        <v>36</v>
      </c>
      <c r="G1099" s="1">
        <f t="shared" si="3"/>
        <v>36</v>
      </c>
      <c r="H1099" s="6">
        <f t="shared" si="4"/>
        <v>0.1232876712</v>
      </c>
      <c r="I1099" s="6">
        <f t="shared" si="5"/>
        <v>0.8767123288</v>
      </c>
      <c r="J1099" s="1">
        <f t="shared" si="6"/>
        <v>36</v>
      </c>
      <c r="K1099" s="1" t="str">
        <f t="shared" si="7"/>
        <v>Over Forecast</v>
      </c>
      <c r="L1099" s="1">
        <f>F1099+J1098</f>
        <v>94</v>
      </c>
      <c r="M1099" s="7">
        <f t="shared" si="10"/>
        <v>58.18032787</v>
      </c>
      <c r="N1099" s="7">
        <f t="shared" si="8"/>
        <v>1.615666385</v>
      </c>
      <c r="O1099" s="2" t="str">
        <f t="shared" si="9"/>
        <v>Acceptable</v>
      </c>
    </row>
    <row r="1100" ht="15.75" customHeight="1">
      <c r="A1100" s="1" t="s">
        <v>122</v>
      </c>
      <c r="B1100" s="1" t="s">
        <v>121</v>
      </c>
      <c r="C1100" s="1" t="s">
        <v>23</v>
      </c>
      <c r="D1100" s="1">
        <v>278.0</v>
      </c>
      <c r="E1100" s="1">
        <v>322.0</v>
      </c>
      <c r="F1100" s="1">
        <f t="shared" si="2"/>
        <v>44</v>
      </c>
      <c r="G1100" s="1">
        <f t="shared" si="3"/>
        <v>44</v>
      </c>
      <c r="H1100" s="6">
        <f t="shared" si="4"/>
        <v>0.1582733813</v>
      </c>
      <c r="I1100" s="6">
        <f t="shared" si="5"/>
        <v>0.8417266187</v>
      </c>
      <c r="J1100" s="1">
        <f t="shared" si="6"/>
        <v>44</v>
      </c>
      <c r="K1100" s="1" t="str">
        <f t="shared" si="7"/>
        <v>Over Forecast</v>
      </c>
      <c r="L1100" s="1">
        <f>F1100</f>
        <v>44</v>
      </c>
      <c r="M1100" s="7">
        <f t="shared" si="10"/>
        <v>58.16742493</v>
      </c>
      <c r="N1100" s="7">
        <f t="shared" si="8"/>
        <v>0.7564371304</v>
      </c>
      <c r="O1100" s="2" t="str">
        <f t="shared" si="9"/>
        <v>Acceptable</v>
      </c>
    </row>
    <row r="1101" ht="15.75" customHeight="1">
      <c r="A1101" s="1" t="s">
        <v>122</v>
      </c>
      <c r="B1101" s="1" t="s">
        <v>121</v>
      </c>
      <c r="C1101" s="1" t="s">
        <v>24</v>
      </c>
      <c r="D1101" s="1">
        <v>324.0</v>
      </c>
      <c r="E1101" s="1">
        <v>369.0</v>
      </c>
      <c r="F1101" s="1">
        <f t="shared" si="2"/>
        <v>45</v>
      </c>
      <c r="G1101" s="1">
        <f t="shared" si="3"/>
        <v>45</v>
      </c>
      <c r="H1101" s="6">
        <f t="shared" si="4"/>
        <v>0.1388888889</v>
      </c>
      <c r="I1101" s="6">
        <f t="shared" si="5"/>
        <v>0.8611111111</v>
      </c>
      <c r="J1101" s="1">
        <f t="shared" si="6"/>
        <v>45</v>
      </c>
      <c r="K1101" s="1" t="str">
        <f t="shared" si="7"/>
        <v>Over Forecast</v>
      </c>
      <c r="L1101" s="1">
        <f>F1101+J1100</f>
        <v>89</v>
      </c>
      <c r="M1101" s="7">
        <f t="shared" si="10"/>
        <v>58.15545455</v>
      </c>
      <c r="N1101" s="7">
        <f t="shared" si="8"/>
        <v>1.530380954</v>
      </c>
      <c r="O1101" s="2" t="str">
        <f t="shared" si="9"/>
        <v>Acceptable</v>
      </c>
    </row>
    <row r="1102" ht="15.75" customHeight="1">
      <c r="A1102" s="1" t="s">
        <v>122</v>
      </c>
      <c r="B1102" s="1" t="s">
        <v>121</v>
      </c>
      <c r="C1102" s="1" t="s">
        <v>25</v>
      </c>
      <c r="D1102" s="1">
        <v>306.0</v>
      </c>
      <c r="E1102" s="1">
        <v>376.0</v>
      </c>
      <c r="F1102" s="1">
        <f t="shared" si="2"/>
        <v>70</v>
      </c>
      <c r="G1102" s="1">
        <f t="shared" si="3"/>
        <v>70</v>
      </c>
      <c r="H1102" s="6">
        <f t="shared" si="4"/>
        <v>0.2287581699</v>
      </c>
      <c r="I1102" s="6">
        <f t="shared" si="5"/>
        <v>0.7712418301</v>
      </c>
      <c r="J1102" s="1">
        <f t="shared" si="6"/>
        <v>70</v>
      </c>
      <c r="K1102" s="1" t="str">
        <f t="shared" si="7"/>
        <v>Over Forecast</v>
      </c>
      <c r="L1102" s="1">
        <f>F1102</f>
        <v>70</v>
      </c>
      <c r="M1102" s="7">
        <f t="shared" si="10"/>
        <v>58.16621253</v>
      </c>
      <c r="N1102" s="7">
        <f t="shared" si="8"/>
        <v>1.203447791</v>
      </c>
      <c r="O1102" s="2" t="str">
        <f t="shared" si="9"/>
        <v>Acceptable</v>
      </c>
    </row>
    <row r="1103" ht="15.75" customHeight="1">
      <c r="A1103" s="1" t="s">
        <v>122</v>
      </c>
      <c r="B1103" s="1" t="s">
        <v>121</v>
      </c>
      <c r="C1103" s="1" t="s">
        <v>26</v>
      </c>
      <c r="D1103" s="1">
        <v>260.0</v>
      </c>
      <c r="E1103" s="1">
        <v>356.0</v>
      </c>
      <c r="F1103" s="1">
        <f t="shared" si="2"/>
        <v>96</v>
      </c>
      <c r="G1103" s="1">
        <f t="shared" si="3"/>
        <v>96</v>
      </c>
      <c r="H1103" s="6">
        <f t="shared" si="4"/>
        <v>0.3692307692</v>
      </c>
      <c r="I1103" s="6">
        <f t="shared" si="5"/>
        <v>0.6307692308</v>
      </c>
      <c r="J1103" s="1">
        <f t="shared" si="6"/>
        <v>96</v>
      </c>
      <c r="K1103" s="1" t="str">
        <f t="shared" si="7"/>
        <v>Over Forecast</v>
      </c>
      <c r="L1103" s="1">
        <f>F1103+J1102</f>
        <v>166</v>
      </c>
      <c r="M1103" s="7">
        <f t="shared" si="10"/>
        <v>58.20054446</v>
      </c>
      <c r="N1103" s="7">
        <f t="shared" si="8"/>
        <v>2.852206994</v>
      </c>
      <c r="O1103" s="2" t="str">
        <f t="shared" si="9"/>
        <v>Acceptable</v>
      </c>
    </row>
    <row r="1104" ht="15.75" customHeight="1">
      <c r="A1104" s="1" t="s">
        <v>122</v>
      </c>
      <c r="B1104" s="1" t="s">
        <v>121</v>
      </c>
      <c r="C1104" s="1" t="s">
        <v>27</v>
      </c>
      <c r="D1104" s="1">
        <v>254.0</v>
      </c>
      <c r="E1104" s="1">
        <v>273.0</v>
      </c>
      <c r="F1104" s="1">
        <f t="shared" si="2"/>
        <v>19</v>
      </c>
      <c r="G1104" s="1">
        <f t="shared" si="3"/>
        <v>19</v>
      </c>
      <c r="H1104" s="6">
        <f t="shared" si="4"/>
        <v>0.07480314961</v>
      </c>
      <c r="I1104" s="6">
        <f t="shared" si="5"/>
        <v>0.9251968504</v>
      </c>
      <c r="J1104" s="1">
        <f t="shared" si="6"/>
        <v>19</v>
      </c>
      <c r="K1104" s="1" t="str">
        <f t="shared" si="7"/>
        <v>Over Forecast</v>
      </c>
      <c r="L1104" s="1">
        <f>F1104</f>
        <v>19</v>
      </c>
      <c r="M1104" s="7">
        <f t="shared" si="10"/>
        <v>58.16500453</v>
      </c>
      <c r="N1104" s="7">
        <f t="shared" si="8"/>
        <v>0.3266568988</v>
      </c>
      <c r="O1104" s="2" t="str">
        <f t="shared" si="9"/>
        <v>Acceptable</v>
      </c>
    </row>
    <row r="1105" ht="15.75" customHeight="1">
      <c r="A1105" s="1" t="s">
        <v>122</v>
      </c>
      <c r="B1105" s="1" t="s">
        <v>121</v>
      </c>
      <c r="C1105" s="1" t="s">
        <v>28</v>
      </c>
      <c r="D1105" s="1">
        <v>253.0</v>
      </c>
      <c r="E1105" s="1">
        <v>166.0</v>
      </c>
      <c r="F1105" s="1">
        <f t="shared" si="2"/>
        <v>-87</v>
      </c>
      <c r="G1105" s="1">
        <f t="shared" si="3"/>
        <v>87</v>
      </c>
      <c r="H1105" s="6">
        <f t="shared" si="4"/>
        <v>0.3438735178</v>
      </c>
      <c r="I1105" s="6">
        <f t="shared" si="5"/>
        <v>0.6561264822</v>
      </c>
      <c r="J1105" s="1">
        <f t="shared" si="6"/>
        <v>-87</v>
      </c>
      <c r="K1105" s="1" t="str">
        <f t="shared" si="7"/>
        <v>Under Forecast</v>
      </c>
      <c r="L1105" s="1">
        <f>F1105+J1104</f>
        <v>-68</v>
      </c>
      <c r="M1105" s="7">
        <f t="shared" si="10"/>
        <v>58.19112319</v>
      </c>
      <c r="N1105" s="7">
        <f t="shared" si="8"/>
        <v>-1.168563112</v>
      </c>
      <c r="O1105" s="2" t="str">
        <f t="shared" si="9"/>
        <v>Acceptable</v>
      </c>
    </row>
    <row r="1106" ht="15.75" customHeight="1">
      <c r="A1106" s="1" t="s">
        <v>123</v>
      </c>
      <c r="B1106" s="1" t="s">
        <v>121</v>
      </c>
      <c r="C1106" s="1" t="s">
        <v>17</v>
      </c>
      <c r="D1106" s="1">
        <v>348.0</v>
      </c>
      <c r="E1106" s="1">
        <v>369.0</v>
      </c>
      <c r="F1106" s="1">
        <f t="shared" si="2"/>
        <v>21</v>
      </c>
      <c r="G1106" s="1">
        <f t="shared" si="3"/>
        <v>21</v>
      </c>
      <c r="H1106" s="6">
        <f t="shared" si="4"/>
        <v>0.06034482759</v>
      </c>
      <c r="I1106" s="6">
        <f t="shared" si="5"/>
        <v>0.9396551724</v>
      </c>
      <c r="J1106" s="1">
        <f t="shared" si="6"/>
        <v>21</v>
      </c>
      <c r="K1106" s="1" t="str">
        <f t="shared" si="7"/>
        <v>Over Forecast</v>
      </c>
      <c r="L1106" s="1">
        <f>F1106</f>
        <v>21</v>
      </c>
      <c r="M1106" s="7">
        <f t="shared" si="10"/>
        <v>58.15746606</v>
      </c>
      <c r="N1106" s="7">
        <f t="shared" si="8"/>
        <v>0.3610886344</v>
      </c>
      <c r="O1106" s="2" t="str">
        <f t="shared" si="9"/>
        <v>Acceptable</v>
      </c>
    </row>
    <row r="1107" ht="15.75" customHeight="1">
      <c r="A1107" s="1" t="s">
        <v>123</v>
      </c>
      <c r="B1107" s="1" t="s">
        <v>121</v>
      </c>
      <c r="C1107" s="1" t="s">
        <v>18</v>
      </c>
      <c r="D1107" s="1">
        <v>328.0</v>
      </c>
      <c r="E1107" s="1">
        <v>229.0</v>
      </c>
      <c r="F1107" s="1">
        <f t="shared" si="2"/>
        <v>-99</v>
      </c>
      <c r="G1107" s="1">
        <f t="shared" si="3"/>
        <v>99</v>
      </c>
      <c r="H1107" s="6">
        <f t="shared" si="4"/>
        <v>0.3018292683</v>
      </c>
      <c r="I1107" s="6">
        <f t="shared" si="5"/>
        <v>0.6981707317</v>
      </c>
      <c r="J1107" s="1">
        <f t="shared" si="6"/>
        <v>-99</v>
      </c>
      <c r="K1107" s="1" t="str">
        <f t="shared" si="7"/>
        <v>Under Forecast</v>
      </c>
      <c r="L1107" s="1">
        <f>F1107+J1106</f>
        <v>-78</v>
      </c>
      <c r="M1107" s="7">
        <f t="shared" si="10"/>
        <v>58.19439421</v>
      </c>
      <c r="N1107" s="7">
        <f t="shared" si="8"/>
        <v>-1.340335286</v>
      </c>
      <c r="O1107" s="2" t="str">
        <f t="shared" si="9"/>
        <v>Acceptable</v>
      </c>
    </row>
    <row r="1108" ht="15.75" customHeight="1">
      <c r="A1108" s="1" t="s">
        <v>123</v>
      </c>
      <c r="B1108" s="1" t="s">
        <v>121</v>
      </c>
      <c r="C1108" s="1" t="s">
        <v>19</v>
      </c>
      <c r="D1108" s="1">
        <v>380.0</v>
      </c>
      <c r="E1108" s="1">
        <v>332.0</v>
      </c>
      <c r="F1108" s="1">
        <f t="shared" si="2"/>
        <v>-48</v>
      </c>
      <c r="G1108" s="1">
        <f t="shared" si="3"/>
        <v>48</v>
      </c>
      <c r="H1108" s="6">
        <f t="shared" si="4"/>
        <v>0.1263157895</v>
      </c>
      <c r="I1108" s="6">
        <f t="shared" si="5"/>
        <v>0.8736842105</v>
      </c>
      <c r="J1108" s="1">
        <f t="shared" si="6"/>
        <v>-48</v>
      </c>
      <c r="K1108" s="1" t="str">
        <f t="shared" si="7"/>
        <v>Under Forecast</v>
      </c>
      <c r="L1108" s="1">
        <f>F1108</f>
        <v>-48</v>
      </c>
      <c r="M1108" s="7">
        <f t="shared" si="10"/>
        <v>58.18518519</v>
      </c>
      <c r="N1108" s="7">
        <f t="shared" si="8"/>
        <v>-0.8249522597</v>
      </c>
      <c r="O1108" s="2" t="str">
        <f t="shared" si="9"/>
        <v>Acceptable</v>
      </c>
    </row>
    <row r="1109" ht="15.75" customHeight="1">
      <c r="A1109" s="1" t="s">
        <v>123</v>
      </c>
      <c r="B1109" s="1" t="s">
        <v>121</v>
      </c>
      <c r="C1109" s="1" t="s">
        <v>20</v>
      </c>
      <c r="D1109" s="1">
        <v>405.0</v>
      </c>
      <c r="E1109" s="1">
        <v>454.0</v>
      </c>
      <c r="F1109" s="1">
        <f t="shared" si="2"/>
        <v>49</v>
      </c>
      <c r="G1109" s="1">
        <f t="shared" si="3"/>
        <v>49</v>
      </c>
      <c r="H1109" s="6">
        <f t="shared" si="4"/>
        <v>0.1209876543</v>
      </c>
      <c r="I1109" s="6">
        <f t="shared" si="5"/>
        <v>0.8790123457</v>
      </c>
      <c r="J1109" s="1">
        <f t="shared" si="6"/>
        <v>49</v>
      </c>
      <c r="K1109" s="1" t="str">
        <f t="shared" si="7"/>
        <v>Over Forecast</v>
      </c>
      <c r="L1109" s="1">
        <f>F1109+J1108</f>
        <v>1</v>
      </c>
      <c r="M1109" s="7">
        <f t="shared" si="10"/>
        <v>58.17689531</v>
      </c>
      <c r="N1109" s="7">
        <f t="shared" si="8"/>
        <v>0.01718895439</v>
      </c>
      <c r="O1109" s="2" t="str">
        <f t="shared" si="9"/>
        <v>Acceptable</v>
      </c>
    </row>
    <row r="1110" ht="15.75" customHeight="1">
      <c r="A1110" s="1" t="s">
        <v>123</v>
      </c>
      <c r="B1110" s="1" t="s">
        <v>121</v>
      </c>
      <c r="C1110" s="1" t="s">
        <v>21</v>
      </c>
      <c r="D1110" s="1">
        <v>427.0</v>
      </c>
      <c r="E1110" s="1">
        <v>492.0</v>
      </c>
      <c r="F1110" s="1">
        <f t="shared" si="2"/>
        <v>65</v>
      </c>
      <c r="G1110" s="1">
        <f t="shared" si="3"/>
        <v>65</v>
      </c>
      <c r="H1110" s="6">
        <f t="shared" si="4"/>
        <v>0.1522248244</v>
      </c>
      <c r="I1110" s="6">
        <f t="shared" si="5"/>
        <v>0.8477751756</v>
      </c>
      <c r="J1110" s="1">
        <f t="shared" si="6"/>
        <v>65</v>
      </c>
      <c r="K1110" s="1" t="str">
        <f t="shared" si="7"/>
        <v>Over Forecast</v>
      </c>
      <c r="L1110" s="1">
        <f>F1110</f>
        <v>65</v>
      </c>
      <c r="M1110" s="7">
        <f t="shared" si="10"/>
        <v>58.18304779</v>
      </c>
      <c r="N1110" s="7">
        <f t="shared" si="8"/>
        <v>1.11716389</v>
      </c>
      <c r="O1110" s="2" t="str">
        <f t="shared" si="9"/>
        <v>Acceptable</v>
      </c>
    </row>
    <row r="1111" ht="15.75" customHeight="1">
      <c r="A1111" s="1" t="s">
        <v>123</v>
      </c>
      <c r="B1111" s="1" t="s">
        <v>121</v>
      </c>
      <c r="C1111" s="1" t="s">
        <v>22</v>
      </c>
      <c r="D1111" s="1">
        <v>402.0</v>
      </c>
      <c r="E1111" s="1">
        <v>457.0</v>
      </c>
      <c r="F1111" s="1">
        <f t="shared" si="2"/>
        <v>55</v>
      </c>
      <c r="G1111" s="1">
        <f t="shared" si="3"/>
        <v>55</v>
      </c>
      <c r="H1111" s="6">
        <f t="shared" si="4"/>
        <v>0.1368159204</v>
      </c>
      <c r="I1111" s="6">
        <f t="shared" si="5"/>
        <v>0.8631840796</v>
      </c>
      <c r="J1111" s="1">
        <f t="shared" si="6"/>
        <v>55</v>
      </c>
      <c r="K1111" s="1" t="str">
        <f t="shared" si="7"/>
        <v>Over Forecast</v>
      </c>
      <c r="L1111" s="1">
        <f>F1111+J1110</f>
        <v>120</v>
      </c>
      <c r="M1111" s="7">
        <f t="shared" si="10"/>
        <v>58.18018018</v>
      </c>
      <c r="N1111" s="7">
        <f t="shared" si="8"/>
        <v>2.062558068</v>
      </c>
      <c r="O1111" s="2" t="str">
        <f t="shared" si="9"/>
        <v>Acceptable</v>
      </c>
    </row>
    <row r="1112" ht="15.75" customHeight="1">
      <c r="A1112" s="1" t="s">
        <v>123</v>
      </c>
      <c r="B1112" s="1" t="s">
        <v>121</v>
      </c>
      <c r="C1112" s="1" t="s">
        <v>23</v>
      </c>
      <c r="D1112" s="1">
        <v>397.0</v>
      </c>
      <c r="E1112" s="1">
        <v>335.0</v>
      </c>
      <c r="F1112" s="1">
        <f t="shared" si="2"/>
        <v>-62</v>
      </c>
      <c r="G1112" s="1">
        <f t="shared" si="3"/>
        <v>62</v>
      </c>
      <c r="H1112" s="6">
        <f t="shared" si="4"/>
        <v>0.1561712846</v>
      </c>
      <c r="I1112" s="6">
        <f t="shared" si="5"/>
        <v>0.8438287154</v>
      </c>
      <c r="J1112" s="1">
        <f t="shared" si="6"/>
        <v>-62</v>
      </c>
      <c r="K1112" s="1" t="str">
        <f t="shared" si="7"/>
        <v>Under Forecast</v>
      </c>
      <c r="L1112" s="1">
        <f>F1112</f>
        <v>-62</v>
      </c>
      <c r="M1112" s="7">
        <f t="shared" si="10"/>
        <v>58.18361836</v>
      </c>
      <c r="N1112" s="7">
        <f t="shared" si="8"/>
        <v>-1.06559203</v>
      </c>
      <c r="O1112" s="2" t="str">
        <f t="shared" si="9"/>
        <v>Acceptable</v>
      </c>
    </row>
    <row r="1113" ht="15.75" customHeight="1">
      <c r="A1113" s="1" t="s">
        <v>123</v>
      </c>
      <c r="B1113" s="1" t="s">
        <v>121</v>
      </c>
      <c r="C1113" s="1" t="s">
        <v>24</v>
      </c>
      <c r="D1113" s="1">
        <v>425.0</v>
      </c>
      <c r="E1113" s="1">
        <v>406.0</v>
      </c>
      <c r="F1113" s="1">
        <f t="shared" si="2"/>
        <v>-19</v>
      </c>
      <c r="G1113" s="1">
        <f t="shared" si="3"/>
        <v>19</v>
      </c>
      <c r="H1113" s="6">
        <f t="shared" si="4"/>
        <v>0.04470588235</v>
      </c>
      <c r="I1113" s="6">
        <f t="shared" si="5"/>
        <v>0.9552941176</v>
      </c>
      <c r="J1113" s="1">
        <f t="shared" si="6"/>
        <v>-19</v>
      </c>
      <c r="K1113" s="1" t="str">
        <f t="shared" si="7"/>
        <v>Under Forecast</v>
      </c>
      <c r="L1113" s="1">
        <f>F1113+J1112</f>
        <v>-81</v>
      </c>
      <c r="M1113" s="7">
        <f t="shared" si="10"/>
        <v>58.14838129</v>
      </c>
      <c r="N1113" s="7">
        <f t="shared" si="8"/>
        <v>-1.392988045</v>
      </c>
      <c r="O1113" s="2" t="str">
        <f t="shared" si="9"/>
        <v>Acceptable</v>
      </c>
    </row>
    <row r="1114" ht="15.75" customHeight="1">
      <c r="A1114" s="1" t="s">
        <v>123</v>
      </c>
      <c r="B1114" s="1" t="s">
        <v>121</v>
      </c>
      <c r="C1114" s="1" t="s">
        <v>25</v>
      </c>
      <c r="D1114" s="1">
        <v>403.0</v>
      </c>
      <c r="E1114" s="1">
        <v>506.0</v>
      </c>
      <c r="F1114" s="1">
        <f t="shared" si="2"/>
        <v>103</v>
      </c>
      <c r="G1114" s="1">
        <f t="shared" si="3"/>
        <v>103</v>
      </c>
      <c r="H1114" s="6">
        <f t="shared" si="4"/>
        <v>0.2555831266</v>
      </c>
      <c r="I1114" s="6">
        <f t="shared" si="5"/>
        <v>0.7444168734</v>
      </c>
      <c r="J1114" s="1">
        <f t="shared" si="6"/>
        <v>103</v>
      </c>
      <c r="K1114" s="1" t="str">
        <f t="shared" si="7"/>
        <v>Over Forecast</v>
      </c>
      <c r="L1114" s="1">
        <f>F1114</f>
        <v>103</v>
      </c>
      <c r="M1114" s="7">
        <f t="shared" si="10"/>
        <v>58.18867925</v>
      </c>
      <c r="N1114" s="7">
        <f t="shared" si="8"/>
        <v>1.770103761</v>
      </c>
      <c r="O1114" s="2" t="str">
        <f t="shared" si="9"/>
        <v>Acceptable</v>
      </c>
    </row>
    <row r="1115" ht="15.75" customHeight="1">
      <c r="A1115" s="1" t="s">
        <v>123</v>
      </c>
      <c r="B1115" s="1" t="s">
        <v>121</v>
      </c>
      <c r="C1115" s="1" t="s">
        <v>26</v>
      </c>
      <c r="D1115" s="1">
        <v>400.0</v>
      </c>
      <c r="E1115" s="1">
        <v>533.0</v>
      </c>
      <c r="F1115" s="1">
        <f t="shared" si="2"/>
        <v>133</v>
      </c>
      <c r="G1115" s="1">
        <f t="shared" si="3"/>
        <v>133</v>
      </c>
      <c r="H1115" s="6">
        <f t="shared" si="4"/>
        <v>0.3325</v>
      </c>
      <c r="I1115" s="6">
        <f t="shared" si="5"/>
        <v>0.6675</v>
      </c>
      <c r="J1115" s="1">
        <f t="shared" si="6"/>
        <v>133</v>
      </c>
      <c r="K1115" s="1" t="str">
        <f t="shared" si="7"/>
        <v>Over Forecast</v>
      </c>
      <c r="L1115" s="1">
        <f>F1115+J1114</f>
        <v>236</v>
      </c>
      <c r="M1115" s="7">
        <f t="shared" si="10"/>
        <v>58.25583483</v>
      </c>
      <c r="N1115" s="7">
        <f t="shared" si="8"/>
        <v>4.051096353</v>
      </c>
      <c r="O1115" s="2" t="str">
        <f t="shared" si="9"/>
        <v>Over Forecasting Problem</v>
      </c>
    </row>
    <row r="1116" ht="15.75" customHeight="1">
      <c r="A1116" s="1" t="s">
        <v>123</v>
      </c>
      <c r="B1116" s="1" t="s">
        <v>121</v>
      </c>
      <c r="C1116" s="1" t="s">
        <v>27</v>
      </c>
      <c r="D1116" s="1">
        <v>361.0</v>
      </c>
      <c r="E1116" s="1">
        <v>308.0</v>
      </c>
      <c r="F1116" s="1">
        <f t="shared" si="2"/>
        <v>-53</v>
      </c>
      <c r="G1116" s="1">
        <f t="shared" si="3"/>
        <v>53</v>
      </c>
      <c r="H1116" s="6">
        <f t="shared" si="4"/>
        <v>0.1468144044</v>
      </c>
      <c r="I1116" s="6">
        <f t="shared" si="5"/>
        <v>0.8531855956</v>
      </c>
      <c r="J1116" s="1">
        <f t="shared" si="6"/>
        <v>-53</v>
      </c>
      <c r="K1116" s="1" t="str">
        <f t="shared" si="7"/>
        <v>Under Forecast</v>
      </c>
      <c r="L1116" s="1">
        <f>F1116</f>
        <v>-53</v>
      </c>
      <c r="M1116" s="7">
        <f t="shared" si="10"/>
        <v>58.25112108</v>
      </c>
      <c r="N1116" s="7">
        <f t="shared" si="8"/>
        <v>-0.9098537336</v>
      </c>
      <c r="O1116" s="2" t="str">
        <f t="shared" si="9"/>
        <v>Acceptable</v>
      </c>
    </row>
    <row r="1117" ht="15.75" customHeight="1">
      <c r="A1117" s="1" t="s">
        <v>123</v>
      </c>
      <c r="B1117" s="1" t="s">
        <v>121</v>
      </c>
      <c r="C1117" s="1" t="s">
        <v>28</v>
      </c>
      <c r="D1117" s="1">
        <v>362.0</v>
      </c>
      <c r="E1117" s="1">
        <v>324.0</v>
      </c>
      <c r="F1117" s="1">
        <f t="shared" si="2"/>
        <v>-38</v>
      </c>
      <c r="G1117" s="1">
        <f t="shared" si="3"/>
        <v>38</v>
      </c>
      <c r="H1117" s="6">
        <f t="shared" si="4"/>
        <v>0.1049723757</v>
      </c>
      <c r="I1117" s="6">
        <f t="shared" si="5"/>
        <v>0.8950276243</v>
      </c>
      <c r="J1117" s="1">
        <f t="shared" si="6"/>
        <v>-38</v>
      </c>
      <c r="K1117" s="1" t="str">
        <f t="shared" si="7"/>
        <v>Under Forecast</v>
      </c>
      <c r="L1117" s="1">
        <f>F1117+J1116</f>
        <v>-91</v>
      </c>
      <c r="M1117" s="7">
        <f t="shared" si="10"/>
        <v>58.23297491</v>
      </c>
      <c r="N1117" s="7">
        <f t="shared" si="8"/>
        <v>-1.562688496</v>
      </c>
      <c r="O1117" s="2" t="str">
        <f t="shared" si="9"/>
        <v>Acceptable</v>
      </c>
    </row>
    <row r="1118" ht="15.75" customHeight="1">
      <c r="A1118" s="1" t="s">
        <v>124</v>
      </c>
      <c r="B1118" s="1" t="s">
        <v>121</v>
      </c>
      <c r="C1118" s="1" t="s">
        <v>17</v>
      </c>
      <c r="D1118" s="1">
        <v>379.0</v>
      </c>
      <c r="E1118" s="1">
        <v>375.0</v>
      </c>
      <c r="F1118" s="1">
        <f t="shared" si="2"/>
        <v>-4</v>
      </c>
      <c r="G1118" s="1">
        <f t="shared" si="3"/>
        <v>4</v>
      </c>
      <c r="H1118" s="6">
        <f t="shared" si="4"/>
        <v>0.01055408971</v>
      </c>
      <c r="I1118" s="6">
        <f t="shared" si="5"/>
        <v>0.9894459103</v>
      </c>
      <c r="J1118" s="1">
        <f t="shared" si="6"/>
        <v>-4</v>
      </c>
      <c r="K1118" s="1" t="str">
        <f t="shared" si="7"/>
        <v>Under Forecast</v>
      </c>
      <c r="L1118" s="1">
        <f>F1118</f>
        <v>-4</v>
      </c>
      <c r="M1118" s="7">
        <f t="shared" si="10"/>
        <v>58.18442256</v>
      </c>
      <c r="N1118" s="7">
        <f t="shared" si="8"/>
        <v>-0.0687469227</v>
      </c>
      <c r="O1118" s="2" t="str">
        <f t="shared" si="9"/>
        <v>Acceptable</v>
      </c>
    </row>
    <row r="1119" ht="15.75" customHeight="1">
      <c r="A1119" s="1" t="s">
        <v>124</v>
      </c>
      <c r="B1119" s="1" t="s">
        <v>121</v>
      </c>
      <c r="C1119" s="1" t="s">
        <v>18</v>
      </c>
      <c r="D1119" s="1">
        <v>397.0</v>
      </c>
      <c r="E1119" s="1">
        <v>278.0</v>
      </c>
      <c r="F1119" s="1">
        <f t="shared" si="2"/>
        <v>-119</v>
      </c>
      <c r="G1119" s="1">
        <f t="shared" si="3"/>
        <v>119</v>
      </c>
      <c r="H1119" s="6">
        <f t="shared" si="4"/>
        <v>0.2997481108</v>
      </c>
      <c r="I1119" s="6">
        <f t="shared" si="5"/>
        <v>0.7002518892</v>
      </c>
      <c r="J1119" s="1">
        <f t="shared" si="6"/>
        <v>-119</v>
      </c>
      <c r="K1119" s="1" t="str">
        <f t="shared" si="7"/>
        <v>Under Forecast</v>
      </c>
      <c r="L1119" s="1">
        <f>F1119+J1118</f>
        <v>-123</v>
      </c>
      <c r="M1119" s="7">
        <f t="shared" si="10"/>
        <v>58.23881932</v>
      </c>
      <c r="N1119" s="7">
        <f t="shared" si="8"/>
        <v>-2.111993365</v>
      </c>
      <c r="O1119" s="2" t="str">
        <f t="shared" si="9"/>
        <v>Acceptable</v>
      </c>
    </row>
    <row r="1120" ht="15.75" customHeight="1">
      <c r="A1120" s="1" t="s">
        <v>124</v>
      </c>
      <c r="B1120" s="1" t="s">
        <v>121</v>
      </c>
      <c r="C1120" s="1" t="s">
        <v>19</v>
      </c>
      <c r="D1120" s="1">
        <v>421.0</v>
      </c>
      <c r="E1120" s="1">
        <v>255.0</v>
      </c>
      <c r="F1120" s="1">
        <f t="shared" si="2"/>
        <v>-166</v>
      </c>
      <c r="G1120" s="1">
        <f t="shared" si="3"/>
        <v>166</v>
      </c>
      <c r="H1120" s="6">
        <f t="shared" si="4"/>
        <v>0.3942992874</v>
      </c>
      <c r="I1120" s="6">
        <f t="shared" si="5"/>
        <v>0.6057007126</v>
      </c>
      <c r="J1120" s="1">
        <f t="shared" si="6"/>
        <v>-166</v>
      </c>
      <c r="K1120" s="1" t="str">
        <f t="shared" si="7"/>
        <v>Under Forecast</v>
      </c>
      <c r="L1120" s="1">
        <f>F1120</f>
        <v>-166</v>
      </c>
      <c r="M1120" s="7">
        <f t="shared" si="10"/>
        <v>58.33512064</v>
      </c>
      <c r="N1120" s="7">
        <f t="shared" si="8"/>
        <v>-2.845627097</v>
      </c>
      <c r="O1120" s="2" t="str">
        <f t="shared" si="9"/>
        <v>Acceptable</v>
      </c>
    </row>
    <row r="1121" ht="15.75" customHeight="1">
      <c r="A1121" s="1" t="s">
        <v>124</v>
      </c>
      <c r="B1121" s="1" t="s">
        <v>121</v>
      </c>
      <c r="C1121" s="1" t="s">
        <v>20</v>
      </c>
      <c r="D1121" s="1">
        <v>439.0</v>
      </c>
      <c r="E1121" s="1">
        <v>582.0</v>
      </c>
      <c r="F1121" s="1">
        <f t="shared" si="2"/>
        <v>143</v>
      </c>
      <c r="G1121" s="1">
        <f t="shared" si="3"/>
        <v>143</v>
      </c>
      <c r="H1121" s="6">
        <f t="shared" si="4"/>
        <v>0.3257403189</v>
      </c>
      <c r="I1121" s="6">
        <f t="shared" si="5"/>
        <v>0.6742596811</v>
      </c>
      <c r="J1121" s="1">
        <f t="shared" si="6"/>
        <v>143</v>
      </c>
      <c r="K1121" s="1" t="str">
        <f t="shared" si="7"/>
        <v>Over Forecast</v>
      </c>
      <c r="L1121" s="1">
        <f>F1121+J1120</f>
        <v>-23</v>
      </c>
      <c r="M1121" s="7">
        <f t="shared" si="10"/>
        <v>58.41071429</v>
      </c>
      <c r="N1121" s="7">
        <f t="shared" si="8"/>
        <v>-0.3937633751</v>
      </c>
      <c r="O1121" s="2" t="str">
        <f t="shared" si="9"/>
        <v>Acceptable</v>
      </c>
    </row>
    <row r="1122" ht="15.75" customHeight="1">
      <c r="A1122" s="1" t="s">
        <v>124</v>
      </c>
      <c r="B1122" s="1" t="s">
        <v>121</v>
      </c>
      <c r="C1122" s="1" t="s">
        <v>21</v>
      </c>
      <c r="D1122" s="1">
        <v>411.0</v>
      </c>
      <c r="E1122" s="1">
        <v>404.0</v>
      </c>
      <c r="F1122" s="1">
        <f t="shared" si="2"/>
        <v>-7</v>
      </c>
      <c r="G1122" s="1">
        <f t="shared" si="3"/>
        <v>7</v>
      </c>
      <c r="H1122" s="6">
        <f t="shared" si="4"/>
        <v>0.01703163017</v>
      </c>
      <c r="I1122" s="6">
        <f t="shared" si="5"/>
        <v>0.9829683698</v>
      </c>
      <c r="J1122" s="1">
        <f t="shared" si="6"/>
        <v>-7</v>
      </c>
      <c r="K1122" s="1" t="str">
        <f t="shared" si="7"/>
        <v>Under Forecast</v>
      </c>
      <c r="L1122" s="1">
        <f>F1122</f>
        <v>-7</v>
      </c>
      <c r="M1122" s="7">
        <f t="shared" si="10"/>
        <v>58.36485281</v>
      </c>
      <c r="N1122" s="7">
        <f t="shared" si="8"/>
        <v>-0.119935195</v>
      </c>
      <c r="O1122" s="2" t="str">
        <f t="shared" si="9"/>
        <v>Acceptable</v>
      </c>
    </row>
    <row r="1123" ht="15.75" customHeight="1">
      <c r="A1123" s="1" t="s">
        <v>124</v>
      </c>
      <c r="B1123" s="1" t="s">
        <v>121</v>
      </c>
      <c r="C1123" s="1" t="s">
        <v>22</v>
      </c>
      <c r="D1123" s="1">
        <v>419.0</v>
      </c>
      <c r="E1123" s="1">
        <v>241.0</v>
      </c>
      <c r="F1123" s="1">
        <f t="shared" si="2"/>
        <v>-178</v>
      </c>
      <c r="G1123" s="1">
        <f t="shared" si="3"/>
        <v>178</v>
      </c>
      <c r="H1123" s="6">
        <f t="shared" si="4"/>
        <v>0.4248210024</v>
      </c>
      <c r="I1123" s="6">
        <f t="shared" si="5"/>
        <v>0.5751789976</v>
      </c>
      <c r="J1123" s="1">
        <f t="shared" si="6"/>
        <v>-178</v>
      </c>
      <c r="K1123" s="1" t="str">
        <f t="shared" si="7"/>
        <v>Under Forecast</v>
      </c>
      <c r="L1123" s="1">
        <f>F1123+J1122</f>
        <v>-185</v>
      </c>
      <c r="M1123" s="7">
        <f t="shared" si="10"/>
        <v>58.4714795</v>
      </c>
      <c r="N1123" s="7">
        <f t="shared" si="8"/>
        <v>-3.163935676</v>
      </c>
      <c r="O1123" s="2" t="str">
        <f t="shared" si="9"/>
        <v>Acceptable</v>
      </c>
    </row>
    <row r="1124" ht="15.75" customHeight="1">
      <c r="A1124" s="1" t="s">
        <v>124</v>
      </c>
      <c r="B1124" s="1" t="s">
        <v>121</v>
      </c>
      <c r="C1124" s="1" t="s">
        <v>23</v>
      </c>
      <c r="D1124" s="1">
        <v>423.0</v>
      </c>
      <c r="E1124" s="1">
        <v>509.0</v>
      </c>
      <c r="F1124" s="1">
        <f t="shared" si="2"/>
        <v>86</v>
      </c>
      <c r="G1124" s="1">
        <f t="shared" si="3"/>
        <v>86</v>
      </c>
      <c r="H1124" s="6">
        <f t="shared" si="4"/>
        <v>0.2033096927</v>
      </c>
      <c r="I1124" s="6">
        <f t="shared" si="5"/>
        <v>0.7966903073</v>
      </c>
      <c r="J1124" s="1">
        <f t="shared" si="6"/>
        <v>86</v>
      </c>
      <c r="K1124" s="1" t="str">
        <f t="shared" si="7"/>
        <v>Over Forecast</v>
      </c>
      <c r="L1124" s="1">
        <f>F1124</f>
        <v>86</v>
      </c>
      <c r="M1124" s="7">
        <f t="shared" si="10"/>
        <v>58.49599288</v>
      </c>
      <c r="N1124" s="7">
        <f t="shared" si="8"/>
        <v>1.470186175</v>
      </c>
      <c r="O1124" s="2" t="str">
        <f t="shared" si="9"/>
        <v>Acceptable</v>
      </c>
    </row>
    <row r="1125" ht="15.75" customHeight="1">
      <c r="A1125" s="1" t="s">
        <v>124</v>
      </c>
      <c r="B1125" s="1" t="s">
        <v>121</v>
      </c>
      <c r="C1125" s="1" t="s">
        <v>24</v>
      </c>
      <c r="D1125" s="1">
        <v>422.0</v>
      </c>
      <c r="E1125" s="1">
        <v>274.0</v>
      </c>
      <c r="F1125" s="1">
        <f t="shared" si="2"/>
        <v>-148</v>
      </c>
      <c r="G1125" s="1">
        <f t="shared" si="3"/>
        <v>148</v>
      </c>
      <c r="H1125" s="6">
        <f t="shared" si="4"/>
        <v>0.3507109005</v>
      </c>
      <c r="I1125" s="6">
        <f t="shared" si="5"/>
        <v>0.6492890995</v>
      </c>
      <c r="J1125" s="1">
        <f t="shared" si="6"/>
        <v>-148</v>
      </c>
      <c r="K1125" s="1" t="str">
        <f t="shared" si="7"/>
        <v>Under Forecast</v>
      </c>
      <c r="L1125" s="1">
        <f>F1125+J1124</f>
        <v>-62</v>
      </c>
      <c r="M1125" s="7">
        <f t="shared" si="10"/>
        <v>58.57562278</v>
      </c>
      <c r="N1125" s="7">
        <f t="shared" si="8"/>
        <v>-1.058460791</v>
      </c>
      <c r="O1125" s="2" t="str">
        <f t="shared" si="9"/>
        <v>Acceptable</v>
      </c>
    </row>
    <row r="1126" ht="15.75" customHeight="1">
      <c r="A1126" s="1" t="s">
        <v>124</v>
      </c>
      <c r="B1126" s="1" t="s">
        <v>121</v>
      </c>
      <c r="C1126" s="1" t="s">
        <v>25</v>
      </c>
      <c r="D1126" s="1">
        <v>414.0</v>
      </c>
      <c r="E1126" s="1">
        <v>411.0</v>
      </c>
      <c r="F1126" s="1">
        <f t="shared" si="2"/>
        <v>-3</v>
      </c>
      <c r="G1126" s="1">
        <f t="shared" si="3"/>
        <v>3</v>
      </c>
      <c r="H1126" s="6">
        <f t="shared" si="4"/>
        <v>0.007246376812</v>
      </c>
      <c r="I1126" s="6">
        <f t="shared" si="5"/>
        <v>0.9927536232</v>
      </c>
      <c r="J1126" s="1">
        <f t="shared" si="6"/>
        <v>-3</v>
      </c>
      <c r="K1126" s="1" t="str">
        <f t="shared" si="7"/>
        <v>Under Forecast</v>
      </c>
      <c r="L1126" s="1">
        <f>F1126</f>
        <v>-3</v>
      </c>
      <c r="M1126" s="7">
        <f t="shared" si="10"/>
        <v>58.52622222</v>
      </c>
      <c r="N1126" s="7">
        <f t="shared" si="8"/>
        <v>-0.05125907475</v>
      </c>
      <c r="O1126" s="2" t="str">
        <f t="shared" si="9"/>
        <v>Acceptable</v>
      </c>
    </row>
    <row r="1127" ht="15.75" customHeight="1">
      <c r="A1127" s="1" t="s">
        <v>124</v>
      </c>
      <c r="B1127" s="1" t="s">
        <v>121</v>
      </c>
      <c r="C1127" s="1" t="s">
        <v>26</v>
      </c>
      <c r="D1127" s="1">
        <v>402.0</v>
      </c>
      <c r="E1127" s="1">
        <v>415.0</v>
      </c>
      <c r="F1127" s="1">
        <f t="shared" si="2"/>
        <v>13</v>
      </c>
      <c r="G1127" s="1">
        <f t="shared" si="3"/>
        <v>13</v>
      </c>
      <c r="H1127" s="6">
        <f t="shared" si="4"/>
        <v>0.03233830846</v>
      </c>
      <c r="I1127" s="6">
        <f t="shared" si="5"/>
        <v>0.9676616915</v>
      </c>
      <c r="J1127" s="1">
        <f t="shared" si="6"/>
        <v>13</v>
      </c>
      <c r="K1127" s="1" t="str">
        <f t="shared" si="7"/>
        <v>Over Forecast</v>
      </c>
      <c r="L1127" s="1">
        <f>F1127+J1126</f>
        <v>10</v>
      </c>
      <c r="M1127" s="7">
        <f t="shared" si="10"/>
        <v>58.48579041</v>
      </c>
      <c r="N1127" s="7">
        <f t="shared" si="8"/>
        <v>0.1709817022</v>
      </c>
      <c r="O1127" s="2" t="str">
        <f t="shared" si="9"/>
        <v>Acceptable</v>
      </c>
    </row>
    <row r="1128" ht="15.75" customHeight="1">
      <c r="A1128" s="1" t="s">
        <v>124</v>
      </c>
      <c r="B1128" s="1" t="s">
        <v>121</v>
      </c>
      <c r="C1128" s="1" t="s">
        <v>27</v>
      </c>
      <c r="D1128" s="1">
        <v>370.0</v>
      </c>
      <c r="E1128" s="1">
        <v>242.0</v>
      </c>
      <c r="F1128" s="1">
        <f t="shared" si="2"/>
        <v>-128</v>
      </c>
      <c r="G1128" s="1">
        <f t="shared" si="3"/>
        <v>128</v>
      </c>
      <c r="H1128" s="6">
        <f t="shared" si="4"/>
        <v>0.3459459459</v>
      </c>
      <c r="I1128" s="6">
        <f t="shared" si="5"/>
        <v>0.6540540541</v>
      </c>
      <c r="J1128" s="1">
        <f t="shared" si="6"/>
        <v>-128</v>
      </c>
      <c r="K1128" s="1" t="str">
        <f t="shared" si="7"/>
        <v>Under Forecast</v>
      </c>
      <c r="L1128" s="1">
        <f>F1128</f>
        <v>-128</v>
      </c>
      <c r="M1128" s="7">
        <f t="shared" si="10"/>
        <v>58.54747116</v>
      </c>
      <c r="N1128" s="7">
        <f t="shared" si="8"/>
        <v>-2.186260097</v>
      </c>
      <c r="O1128" s="2" t="str">
        <f t="shared" si="9"/>
        <v>Acceptable</v>
      </c>
    </row>
    <row r="1129" ht="15.75" customHeight="1">
      <c r="A1129" s="1" t="s">
        <v>124</v>
      </c>
      <c r="B1129" s="1" t="s">
        <v>121</v>
      </c>
      <c r="C1129" s="1" t="s">
        <v>28</v>
      </c>
      <c r="D1129" s="1">
        <v>328.0</v>
      </c>
      <c r="E1129" s="1">
        <v>442.0</v>
      </c>
      <c r="F1129" s="1">
        <f t="shared" si="2"/>
        <v>114</v>
      </c>
      <c r="G1129" s="1">
        <f t="shared" si="3"/>
        <v>114</v>
      </c>
      <c r="H1129" s="6">
        <f t="shared" si="4"/>
        <v>0.3475609756</v>
      </c>
      <c r="I1129" s="6">
        <f t="shared" si="5"/>
        <v>0.6524390244</v>
      </c>
      <c r="J1129" s="1">
        <f t="shared" si="6"/>
        <v>114</v>
      </c>
      <c r="K1129" s="1" t="str">
        <f t="shared" si="7"/>
        <v>Over Forecast</v>
      </c>
      <c r="L1129" s="1">
        <f>F1129+J1128</f>
        <v>-14</v>
      </c>
      <c r="M1129" s="7">
        <f t="shared" si="10"/>
        <v>58.59663121</v>
      </c>
      <c r="N1129" s="7">
        <f t="shared" si="8"/>
        <v>-0.2389215849</v>
      </c>
      <c r="O1129" s="2" t="str">
        <f t="shared" si="9"/>
        <v>Acceptable</v>
      </c>
    </row>
    <row r="1130" ht="15.75" customHeight="1">
      <c r="A1130" s="1" t="s">
        <v>125</v>
      </c>
      <c r="B1130" s="1" t="s">
        <v>121</v>
      </c>
      <c r="C1130" s="1" t="s">
        <v>17</v>
      </c>
      <c r="D1130" s="1">
        <v>467.0</v>
      </c>
      <c r="E1130" s="1">
        <v>344.0</v>
      </c>
      <c r="F1130" s="1">
        <f t="shared" si="2"/>
        <v>-123</v>
      </c>
      <c r="G1130" s="1">
        <f t="shared" si="3"/>
        <v>123</v>
      </c>
      <c r="H1130" s="6">
        <f t="shared" si="4"/>
        <v>0.2633832976</v>
      </c>
      <c r="I1130" s="6">
        <f t="shared" si="5"/>
        <v>0.7366167024</v>
      </c>
      <c r="J1130" s="1">
        <f t="shared" si="6"/>
        <v>-123</v>
      </c>
      <c r="K1130" s="1" t="str">
        <f t="shared" si="7"/>
        <v>Under Forecast</v>
      </c>
      <c r="L1130" s="1">
        <f>F1130</f>
        <v>-123</v>
      </c>
      <c r="M1130" s="7">
        <f t="shared" si="10"/>
        <v>58.65367582</v>
      </c>
      <c r="N1130" s="7">
        <f t="shared" si="8"/>
        <v>-2.09705527</v>
      </c>
      <c r="O1130" s="2" t="str">
        <f t="shared" si="9"/>
        <v>Acceptable</v>
      </c>
    </row>
    <row r="1131" ht="15.75" customHeight="1">
      <c r="A1131" s="1" t="s">
        <v>125</v>
      </c>
      <c r="B1131" s="1" t="s">
        <v>121</v>
      </c>
      <c r="C1131" s="1" t="s">
        <v>18</v>
      </c>
      <c r="D1131" s="1">
        <v>453.0</v>
      </c>
      <c r="E1131" s="1">
        <v>361.0</v>
      </c>
      <c r="F1131" s="1">
        <f t="shared" si="2"/>
        <v>-92</v>
      </c>
      <c r="G1131" s="1">
        <f t="shared" si="3"/>
        <v>92</v>
      </c>
      <c r="H1131" s="6">
        <f t="shared" si="4"/>
        <v>0.2030905077</v>
      </c>
      <c r="I1131" s="6">
        <f t="shared" si="5"/>
        <v>0.7969094923</v>
      </c>
      <c r="J1131" s="1">
        <f t="shared" si="6"/>
        <v>-92</v>
      </c>
      <c r="K1131" s="1" t="str">
        <f t="shared" si="7"/>
        <v>Under Forecast</v>
      </c>
      <c r="L1131" s="1">
        <f>F1131+J1130</f>
        <v>-215</v>
      </c>
      <c r="M1131" s="7">
        <f t="shared" si="10"/>
        <v>58.68318584</v>
      </c>
      <c r="N1131" s="7">
        <f t="shared" si="8"/>
        <v>-3.663741103</v>
      </c>
      <c r="O1131" s="2" t="str">
        <f t="shared" si="9"/>
        <v>Acceptable</v>
      </c>
    </row>
    <row r="1132" ht="15.75" customHeight="1">
      <c r="A1132" s="1" t="s">
        <v>125</v>
      </c>
      <c r="B1132" s="1" t="s">
        <v>121</v>
      </c>
      <c r="C1132" s="1" t="s">
        <v>19</v>
      </c>
      <c r="D1132" s="1">
        <v>572.0</v>
      </c>
      <c r="E1132" s="1">
        <v>549.0</v>
      </c>
      <c r="F1132" s="1">
        <f t="shared" si="2"/>
        <v>-23</v>
      </c>
      <c r="G1132" s="1">
        <f t="shared" si="3"/>
        <v>23</v>
      </c>
      <c r="H1132" s="6">
        <f t="shared" si="4"/>
        <v>0.04020979021</v>
      </c>
      <c r="I1132" s="6">
        <f t="shared" si="5"/>
        <v>0.9597902098</v>
      </c>
      <c r="J1132" s="1">
        <f t="shared" si="6"/>
        <v>-23</v>
      </c>
      <c r="K1132" s="1" t="str">
        <f t="shared" si="7"/>
        <v>Under Forecast</v>
      </c>
      <c r="L1132" s="1">
        <f>F1132</f>
        <v>-23</v>
      </c>
      <c r="M1132" s="7">
        <f t="shared" si="10"/>
        <v>58.65163572</v>
      </c>
      <c r="N1132" s="7">
        <f t="shared" si="8"/>
        <v>-0.392145926</v>
      </c>
      <c r="O1132" s="2" t="str">
        <f t="shared" si="9"/>
        <v>Acceptable</v>
      </c>
    </row>
    <row r="1133" ht="15.75" customHeight="1">
      <c r="A1133" s="1" t="s">
        <v>125</v>
      </c>
      <c r="B1133" s="1" t="s">
        <v>121</v>
      </c>
      <c r="C1133" s="1" t="s">
        <v>20</v>
      </c>
      <c r="D1133" s="1">
        <v>547.0</v>
      </c>
      <c r="E1133" s="1">
        <v>481.0</v>
      </c>
      <c r="F1133" s="1">
        <f t="shared" si="2"/>
        <v>-66</v>
      </c>
      <c r="G1133" s="1">
        <f t="shared" si="3"/>
        <v>66</v>
      </c>
      <c r="H1133" s="6">
        <f t="shared" si="4"/>
        <v>0.1206581353</v>
      </c>
      <c r="I1133" s="6">
        <f t="shared" si="5"/>
        <v>0.8793418647</v>
      </c>
      <c r="J1133" s="1">
        <f t="shared" si="6"/>
        <v>-66</v>
      </c>
      <c r="K1133" s="1" t="str">
        <f t="shared" si="7"/>
        <v>Under Forecast</v>
      </c>
      <c r="L1133" s="1">
        <f>F1133+J1132</f>
        <v>-89</v>
      </c>
      <c r="M1133" s="7">
        <f t="shared" si="10"/>
        <v>58.65812721</v>
      </c>
      <c r="N1133" s="7">
        <f t="shared" si="8"/>
        <v>-1.517266306</v>
      </c>
      <c r="O1133" s="2" t="str">
        <f t="shared" si="9"/>
        <v>Acceptable</v>
      </c>
    </row>
    <row r="1134" ht="15.75" customHeight="1">
      <c r="A1134" s="1" t="s">
        <v>125</v>
      </c>
      <c r="B1134" s="1" t="s">
        <v>121</v>
      </c>
      <c r="C1134" s="1" t="s">
        <v>21</v>
      </c>
      <c r="D1134" s="1">
        <v>550.0</v>
      </c>
      <c r="E1134" s="1">
        <v>561.0</v>
      </c>
      <c r="F1134" s="1">
        <f t="shared" si="2"/>
        <v>11</v>
      </c>
      <c r="G1134" s="1">
        <f t="shared" si="3"/>
        <v>11</v>
      </c>
      <c r="H1134" s="6">
        <f t="shared" si="4"/>
        <v>0.02</v>
      </c>
      <c r="I1134" s="6">
        <f t="shared" si="5"/>
        <v>0.98</v>
      </c>
      <c r="J1134" s="1">
        <f t="shared" si="6"/>
        <v>11</v>
      </c>
      <c r="K1134" s="1" t="str">
        <f t="shared" si="7"/>
        <v>Over Forecast</v>
      </c>
      <c r="L1134" s="1">
        <f>F1134</f>
        <v>11</v>
      </c>
      <c r="M1134" s="7">
        <f t="shared" si="10"/>
        <v>58.61606355</v>
      </c>
      <c r="N1134" s="7">
        <f t="shared" si="8"/>
        <v>0.1876618683</v>
      </c>
      <c r="O1134" s="2" t="str">
        <f t="shared" si="9"/>
        <v>Acceptable</v>
      </c>
    </row>
    <row r="1135" ht="15.75" customHeight="1">
      <c r="A1135" s="1" t="s">
        <v>125</v>
      </c>
      <c r="B1135" s="1" t="s">
        <v>121</v>
      </c>
      <c r="C1135" s="1" t="s">
        <v>22</v>
      </c>
      <c r="D1135" s="1">
        <v>574.0</v>
      </c>
      <c r="E1135" s="1">
        <v>745.0</v>
      </c>
      <c r="F1135" s="1">
        <f t="shared" si="2"/>
        <v>171</v>
      </c>
      <c r="G1135" s="1">
        <f t="shared" si="3"/>
        <v>171</v>
      </c>
      <c r="H1135" s="6">
        <f t="shared" si="4"/>
        <v>0.2979094077</v>
      </c>
      <c r="I1135" s="6">
        <f t="shared" si="5"/>
        <v>0.7020905923</v>
      </c>
      <c r="J1135" s="1">
        <f t="shared" si="6"/>
        <v>171</v>
      </c>
      <c r="K1135" s="1" t="str">
        <f t="shared" si="7"/>
        <v>Over Forecast</v>
      </c>
      <c r="L1135" s="1">
        <f>F1135+J1134</f>
        <v>182</v>
      </c>
      <c r="M1135" s="7">
        <f t="shared" si="10"/>
        <v>58.71516755</v>
      </c>
      <c r="N1135" s="7">
        <f t="shared" si="8"/>
        <v>3.099710136</v>
      </c>
      <c r="O1135" s="2" t="str">
        <f t="shared" si="9"/>
        <v>Acceptable</v>
      </c>
    </row>
    <row r="1136" ht="15.75" customHeight="1">
      <c r="A1136" s="1" t="s">
        <v>125</v>
      </c>
      <c r="B1136" s="1" t="s">
        <v>121</v>
      </c>
      <c r="C1136" s="1" t="s">
        <v>23</v>
      </c>
      <c r="D1136" s="1">
        <v>633.0</v>
      </c>
      <c r="E1136" s="1">
        <v>588.0</v>
      </c>
      <c r="F1136" s="1">
        <f t="shared" si="2"/>
        <v>-45</v>
      </c>
      <c r="G1136" s="1">
        <f t="shared" si="3"/>
        <v>45</v>
      </c>
      <c r="H1136" s="6">
        <f t="shared" si="4"/>
        <v>0.07109004739</v>
      </c>
      <c r="I1136" s="6">
        <f t="shared" si="5"/>
        <v>0.9289099526</v>
      </c>
      <c r="J1136" s="1">
        <f t="shared" si="6"/>
        <v>-45</v>
      </c>
      <c r="K1136" s="1" t="str">
        <f t="shared" si="7"/>
        <v>Under Forecast</v>
      </c>
      <c r="L1136" s="1">
        <f>F1136</f>
        <v>-45</v>
      </c>
      <c r="M1136" s="7">
        <f t="shared" si="10"/>
        <v>58.7030837</v>
      </c>
      <c r="N1136" s="7">
        <f t="shared" si="8"/>
        <v>-0.7665696104</v>
      </c>
      <c r="O1136" s="2" t="str">
        <f t="shared" si="9"/>
        <v>Acceptable</v>
      </c>
    </row>
    <row r="1137" ht="15.75" customHeight="1">
      <c r="A1137" s="1" t="s">
        <v>125</v>
      </c>
      <c r="B1137" s="1" t="s">
        <v>121</v>
      </c>
      <c r="C1137" s="1" t="s">
        <v>24</v>
      </c>
      <c r="D1137" s="1">
        <v>641.0</v>
      </c>
      <c r="E1137" s="1">
        <v>631.0</v>
      </c>
      <c r="F1137" s="1">
        <f t="shared" si="2"/>
        <v>-10</v>
      </c>
      <c r="G1137" s="1">
        <f t="shared" si="3"/>
        <v>10</v>
      </c>
      <c r="H1137" s="6">
        <f t="shared" si="4"/>
        <v>0.01560062402</v>
      </c>
      <c r="I1137" s="6">
        <f t="shared" si="5"/>
        <v>0.984399376</v>
      </c>
      <c r="J1137" s="1">
        <f t="shared" si="6"/>
        <v>-10</v>
      </c>
      <c r="K1137" s="1" t="str">
        <f t="shared" si="7"/>
        <v>Under Forecast</v>
      </c>
      <c r="L1137" s="1">
        <f>F1137+J1136</f>
        <v>-55</v>
      </c>
      <c r="M1137" s="7">
        <f t="shared" si="10"/>
        <v>58.66021127</v>
      </c>
      <c r="N1137" s="7">
        <f t="shared" si="8"/>
        <v>-0.9376031694</v>
      </c>
      <c r="O1137" s="2" t="str">
        <f t="shared" si="9"/>
        <v>Acceptable</v>
      </c>
    </row>
    <row r="1138" ht="15.75" customHeight="1">
      <c r="A1138" s="1" t="s">
        <v>125</v>
      </c>
      <c r="B1138" s="1" t="s">
        <v>121</v>
      </c>
      <c r="C1138" s="1" t="s">
        <v>25</v>
      </c>
      <c r="D1138" s="1">
        <v>689.0</v>
      </c>
      <c r="E1138" s="1">
        <v>734.0</v>
      </c>
      <c r="F1138" s="1">
        <f t="shared" si="2"/>
        <v>45</v>
      </c>
      <c r="G1138" s="1">
        <f t="shared" si="3"/>
        <v>45</v>
      </c>
      <c r="H1138" s="6">
        <f t="shared" si="4"/>
        <v>0.06531204644</v>
      </c>
      <c r="I1138" s="6">
        <f t="shared" si="5"/>
        <v>0.9346879536</v>
      </c>
      <c r="J1138" s="1">
        <f t="shared" si="6"/>
        <v>45</v>
      </c>
      <c r="K1138" s="1" t="str">
        <f t="shared" si="7"/>
        <v>Over Forecast</v>
      </c>
      <c r="L1138" s="1">
        <f>F1138</f>
        <v>45</v>
      </c>
      <c r="M1138" s="7">
        <f t="shared" si="10"/>
        <v>58.64819701</v>
      </c>
      <c r="N1138" s="7">
        <f t="shared" si="8"/>
        <v>0.7672870147</v>
      </c>
      <c r="O1138" s="2" t="str">
        <f t="shared" si="9"/>
        <v>Acceptable</v>
      </c>
    </row>
    <row r="1139" ht="15.75" customHeight="1">
      <c r="A1139" s="1" t="s">
        <v>125</v>
      </c>
      <c r="B1139" s="1" t="s">
        <v>121</v>
      </c>
      <c r="C1139" s="1" t="s">
        <v>26</v>
      </c>
      <c r="D1139" s="1">
        <v>580.0</v>
      </c>
      <c r="E1139" s="1">
        <v>646.0</v>
      </c>
      <c r="F1139" s="1">
        <f t="shared" si="2"/>
        <v>66</v>
      </c>
      <c r="G1139" s="1">
        <f t="shared" si="3"/>
        <v>66</v>
      </c>
      <c r="H1139" s="6">
        <f t="shared" si="4"/>
        <v>0.1137931034</v>
      </c>
      <c r="I1139" s="6">
        <f t="shared" si="5"/>
        <v>0.8862068966</v>
      </c>
      <c r="J1139" s="1">
        <f t="shared" si="6"/>
        <v>66</v>
      </c>
      <c r="K1139" s="1" t="str">
        <f t="shared" si="7"/>
        <v>Over Forecast</v>
      </c>
      <c r="L1139" s="1">
        <f>F1139+J1138</f>
        <v>111</v>
      </c>
      <c r="M1139" s="7">
        <f t="shared" si="10"/>
        <v>58.65465729</v>
      </c>
      <c r="N1139" s="7">
        <f t="shared" si="8"/>
        <v>1.892432845</v>
      </c>
      <c r="O1139" s="2" t="str">
        <f t="shared" si="9"/>
        <v>Acceptable</v>
      </c>
    </row>
    <row r="1140" ht="15.75" customHeight="1">
      <c r="A1140" s="1" t="s">
        <v>125</v>
      </c>
      <c r="B1140" s="1" t="s">
        <v>121</v>
      </c>
      <c r="C1140" s="1" t="s">
        <v>27</v>
      </c>
      <c r="D1140" s="1">
        <v>593.0</v>
      </c>
      <c r="E1140" s="1">
        <v>388.0</v>
      </c>
      <c r="F1140" s="1">
        <f t="shared" si="2"/>
        <v>-205</v>
      </c>
      <c r="G1140" s="1">
        <f t="shared" si="3"/>
        <v>205</v>
      </c>
      <c r="H1140" s="6">
        <f t="shared" si="4"/>
        <v>0.3456998314</v>
      </c>
      <c r="I1140" s="6">
        <f t="shared" si="5"/>
        <v>0.6543001686</v>
      </c>
      <c r="J1140" s="1">
        <f t="shared" si="6"/>
        <v>-205</v>
      </c>
      <c r="K1140" s="1" t="str">
        <f t="shared" si="7"/>
        <v>Under Forecast</v>
      </c>
      <c r="L1140" s="1">
        <f>F1140</f>
        <v>-205</v>
      </c>
      <c r="M1140" s="7">
        <f t="shared" si="10"/>
        <v>58.78314311</v>
      </c>
      <c r="N1140" s="7">
        <f t="shared" si="8"/>
        <v>-3.48739433</v>
      </c>
      <c r="O1140" s="2" t="str">
        <f t="shared" si="9"/>
        <v>Acceptable</v>
      </c>
    </row>
    <row r="1141" ht="15.75" customHeight="1">
      <c r="A1141" s="1" t="s">
        <v>125</v>
      </c>
      <c r="B1141" s="1" t="s">
        <v>121</v>
      </c>
      <c r="C1141" s="1" t="s">
        <v>28</v>
      </c>
      <c r="D1141" s="1">
        <v>696.0</v>
      </c>
      <c r="E1141" s="1">
        <v>869.0</v>
      </c>
      <c r="F1141" s="1">
        <f t="shared" si="2"/>
        <v>173</v>
      </c>
      <c r="G1141" s="1">
        <f t="shared" si="3"/>
        <v>173</v>
      </c>
      <c r="H1141" s="6">
        <f t="shared" si="4"/>
        <v>0.2485632184</v>
      </c>
      <c r="I1141" s="6">
        <f t="shared" si="5"/>
        <v>0.7514367816</v>
      </c>
      <c r="J1141" s="1">
        <f t="shared" si="6"/>
        <v>173</v>
      </c>
      <c r="K1141" s="1" t="str">
        <f t="shared" si="7"/>
        <v>Over Forecast</v>
      </c>
      <c r="L1141" s="1">
        <f>F1141+J1140</f>
        <v>-32</v>
      </c>
      <c r="M1141" s="7">
        <f t="shared" si="10"/>
        <v>58.88333333</v>
      </c>
      <c r="N1141" s="7">
        <f t="shared" si="8"/>
        <v>-0.543447495</v>
      </c>
      <c r="O1141" s="2" t="str">
        <f t="shared" si="9"/>
        <v>Acceptable</v>
      </c>
    </row>
    <row r="1142" ht="15.75" customHeight="1">
      <c r="A1142" s="1" t="s">
        <v>126</v>
      </c>
      <c r="B1142" s="1" t="s">
        <v>121</v>
      </c>
      <c r="C1142" s="1" t="s">
        <v>17</v>
      </c>
      <c r="D1142" s="1">
        <v>160.0</v>
      </c>
      <c r="E1142" s="1">
        <v>170.0</v>
      </c>
      <c r="F1142" s="1">
        <f t="shared" si="2"/>
        <v>10</v>
      </c>
      <c r="G1142" s="1">
        <f t="shared" si="3"/>
        <v>10</v>
      </c>
      <c r="H1142" s="6">
        <f t="shared" si="4"/>
        <v>0.0625</v>
      </c>
      <c r="I1142" s="6">
        <f t="shared" si="5"/>
        <v>0.9375</v>
      </c>
      <c r="J1142" s="1">
        <f t="shared" si="6"/>
        <v>10</v>
      </c>
      <c r="K1142" s="1" t="str">
        <f t="shared" si="7"/>
        <v>Over Forecast</v>
      </c>
      <c r="L1142" s="1">
        <f>F1142</f>
        <v>10</v>
      </c>
      <c r="M1142" s="7">
        <f t="shared" si="10"/>
        <v>58.8404908</v>
      </c>
      <c r="N1142" s="7">
        <f t="shared" si="8"/>
        <v>0.1699509957</v>
      </c>
      <c r="O1142" s="2" t="str">
        <f t="shared" si="9"/>
        <v>Acceptable</v>
      </c>
    </row>
    <row r="1143" ht="15.75" customHeight="1">
      <c r="A1143" s="1" t="s">
        <v>126</v>
      </c>
      <c r="B1143" s="1" t="s">
        <v>121</v>
      </c>
      <c r="C1143" s="1" t="s">
        <v>18</v>
      </c>
      <c r="D1143" s="1">
        <v>171.0</v>
      </c>
      <c r="E1143" s="1">
        <v>221.0</v>
      </c>
      <c r="F1143" s="1">
        <f t="shared" si="2"/>
        <v>50</v>
      </c>
      <c r="G1143" s="1">
        <f t="shared" si="3"/>
        <v>50</v>
      </c>
      <c r="H1143" s="6">
        <f t="shared" si="4"/>
        <v>0.2923976608</v>
      </c>
      <c r="I1143" s="6">
        <f t="shared" si="5"/>
        <v>0.7076023392</v>
      </c>
      <c r="J1143" s="1">
        <f t="shared" si="6"/>
        <v>50</v>
      </c>
      <c r="K1143" s="1" t="str">
        <f t="shared" si="7"/>
        <v>Over Forecast</v>
      </c>
      <c r="L1143" s="1">
        <f>F1143+J1142</f>
        <v>60</v>
      </c>
      <c r="M1143" s="7">
        <f t="shared" si="10"/>
        <v>58.83274956</v>
      </c>
      <c r="N1143" s="7">
        <f t="shared" si="8"/>
        <v>1.019840148</v>
      </c>
      <c r="O1143" s="2" t="str">
        <f t="shared" si="9"/>
        <v>Acceptable</v>
      </c>
    </row>
    <row r="1144" ht="15.75" customHeight="1">
      <c r="A1144" s="1" t="s">
        <v>126</v>
      </c>
      <c r="B1144" s="1" t="s">
        <v>121</v>
      </c>
      <c r="C1144" s="1" t="s">
        <v>19</v>
      </c>
      <c r="D1144" s="1">
        <v>167.0</v>
      </c>
      <c r="E1144" s="1">
        <v>145.0</v>
      </c>
      <c r="F1144" s="1">
        <f t="shared" si="2"/>
        <v>-22</v>
      </c>
      <c r="G1144" s="1">
        <f t="shared" si="3"/>
        <v>22</v>
      </c>
      <c r="H1144" s="6">
        <f t="shared" si="4"/>
        <v>0.1317365269</v>
      </c>
      <c r="I1144" s="6">
        <f t="shared" si="5"/>
        <v>0.8682634731</v>
      </c>
      <c r="J1144" s="1">
        <f t="shared" si="6"/>
        <v>-22</v>
      </c>
      <c r="K1144" s="1" t="str">
        <f t="shared" si="7"/>
        <v>Under Forecast</v>
      </c>
      <c r="L1144" s="1">
        <f>F1144</f>
        <v>-22</v>
      </c>
      <c r="M1144" s="7">
        <f t="shared" si="10"/>
        <v>58.80052493</v>
      </c>
      <c r="N1144" s="7">
        <f t="shared" si="8"/>
        <v>-0.3741463197</v>
      </c>
      <c r="O1144" s="2" t="str">
        <f t="shared" si="9"/>
        <v>Acceptable</v>
      </c>
    </row>
    <row r="1145" ht="15.75" customHeight="1">
      <c r="A1145" s="1" t="s">
        <v>126</v>
      </c>
      <c r="B1145" s="1" t="s">
        <v>121</v>
      </c>
      <c r="C1145" s="1" t="s">
        <v>20</v>
      </c>
      <c r="D1145" s="1">
        <v>165.0</v>
      </c>
      <c r="E1145" s="1">
        <v>129.0</v>
      </c>
      <c r="F1145" s="1">
        <f t="shared" si="2"/>
        <v>-36</v>
      </c>
      <c r="G1145" s="1">
        <f t="shared" si="3"/>
        <v>36</v>
      </c>
      <c r="H1145" s="6">
        <f t="shared" si="4"/>
        <v>0.2181818182</v>
      </c>
      <c r="I1145" s="6">
        <f t="shared" si="5"/>
        <v>0.7818181818</v>
      </c>
      <c r="J1145" s="1">
        <f t="shared" si="6"/>
        <v>-36</v>
      </c>
      <c r="K1145" s="1" t="str">
        <f t="shared" si="7"/>
        <v>Under Forecast</v>
      </c>
      <c r="L1145" s="1">
        <f>F1145+J1144</f>
        <v>-58</v>
      </c>
      <c r="M1145" s="7">
        <f t="shared" si="10"/>
        <v>58.78059441</v>
      </c>
      <c r="N1145" s="7">
        <f t="shared" si="8"/>
        <v>-0.9867202022</v>
      </c>
      <c r="O1145" s="2" t="str">
        <f t="shared" si="9"/>
        <v>Acceptable</v>
      </c>
    </row>
    <row r="1146" ht="15.75" customHeight="1">
      <c r="A1146" s="1" t="s">
        <v>126</v>
      </c>
      <c r="B1146" s="1" t="s">
        <v>121</v>
      </c>
      <c r="C1146" s="1" t="s">
        <v>21</v>
      </c>
      <c r="D1146" s="1">
        <v>162.0</v>
      </c>
      <c r="E1146" s="1">
        <v>146.0</v>
      </c>
      <c r="F1146" s="1">
        <f t="shared" si="2"/>
        <v>-16</v>
      </c>
      <c r="G1146" s="1">
        <f t="shared" si="3"/>
        <v>16</v>
      </c>
      <c r="H1146" s="6">
        <f t="shared" si="4"/>
        <v>0.0987654321</v>
      </c>
      <c r="I1146" s="6">
        <f t="shared" si="5"/>
        <v>0.9012345679</v>
      </c>
      <c r="J1146" s="1">
        <f t="shared" si="6"/>
        <v>-16</v>
      </c>
      <c r="K1146" s="1" t="str">
        <f t="shared" si="7"/>
        <v>Under Forecast</v>
      </c>
      <c r="L1146" s="1">
        <f>F1146</f>
        <v>-16</v>
      </c>
      <c r="M1146" s="7">
        <f t="shared" si="10"/>
        <v>58.74323144</v>
      </c>
      <c r="N1146" s="7">
        <f t="shared" si="8"/>
        <v>-0.2723718054</v>
      </c>
      <c r="O1146" s="2" t="str">
        <f t="shared" si="9"/>
        <v>Acceptable</v>
      </c>
    </row>
    <row r="1147" ht="15.75" customHeight="1">
      <c r="A1147" s="1" t="s">
        <v>126</v>
      </c>
      <c r="B1147" s="1" t="s">
        <v>121</v>
      </c>
      <c r="C1147" s="1" t="s">
        <v>22</v>
      </c>
      <c r="D1147" s="1">
        <v>172.0</v>
      </c>
      <c r="E1147" s="1">
        <v>241.0</v>
      </c>
      <c r="F1147" s="1">
        <f t="shared" si="2"/>
        <v>69</v>
      </c>
      <c r="G1147" s="1">
        <f t="shared" si="3"/>
        <v>69</v>
      </c>
      <c r="H1147" s="6">
        <f t="shared" si="4"/>
        <v>0.4011627907</v>
      </c>
      <c r="I1147" s="6">
        <f t="shared" si="5"/>
        <v>0.5988372093</v>
      </c>
      <c r="J1147" s="1">
        <f t="shared" si="6"/>
        <v>69</v>
      </c>
      <c r="K1147" s="1" t="str">
        <f t="shared" si="7"/>
        <v>Over Forecast</v>
      </c>
      <c r="L1147" s="1">
        <f>F1147+J1146</f>
        <v>53</v>
      </c>
      <c r="M1147" s="7">
        <f t="shared" si="10"/>
        <v>58.7521815</v>
      </c>
      <c r="N1147" s="7">
        <f t="shared" si="8"/>
        <v>0.9020941631</v>
      </c>
      <c r="O1147" s="2" t="str">
        <f t="shared" si="9"/>
        <v>Acceptable</v>
      </c>
    </row>
    <row r="1148" ht="15.75" customHeight="1">
      <c r="A1148" s="1" t="s">
        <v>126</v>
      </c>
      <c r="B1148" s="1" t="s">
        <v>121</v>
      </c>
      <c r="C1148" s="1" t="s">
        <v>23</v>
      </c>
      <c r="D1148" s="1">
        <v>185.0</v>
      </c>
      <c r="E1148" s="1">
        <v>167.0</v>
      </c>
      <c r="F1148" s="1">
        <f t="shared" si="2"/>
        <v>-18</v>
      </c>
      <c r="G1148" s="1">
        <f t="shared" si="3"/>
        <v>18</v>
      </c>
      <c r="H1148" s="6">
        <f t="shared" si="4"/>
        <v>0.0972972973</v>
      </c>
      <c r="I1148" s="6">
        <f t="shared" si="5"/>
        <v>0.9027027027</v>
      </c>
      <c r="J1148" s="1">
        <f t="shared" si="6"/>
        <v>-18</v>
      </c>
      <c r="K1148" s="1" t="str">
        <f t="shared" si="7"/>
        <v>Under Forecast</v>
      </c>
      <c r="L1148" s="1">
        <f>F1148</f>
        <v>-18</v>
      </c>
      <c r="M1148" s="7">
        <f t="shared" si="10"/>
        <v>58.71665214</v>
      </c>
      <c r="N1148" s="7">
        <f t="shared" si="8"/>
        <v>-0.3065569876</v>
      </c>
      <c r="O1148" s="2" t="str">
        <f t="shared" si="9"/>
        <v>Acceptable</v>
      </c>
    </row>
    <row r="1149" ht="15.75" customHeight="1">
      <c r="A1149" s="1" t="s">
        <v>126</v>
      </c>
      <c r="B1149" s="1" t="s">
        <v>121</v>
      </c>
      <c r="C1149" s="1" t="s">
        <v>24</v>
      </c>
      <c r="D1149" s="1">
        <v>178.0</v>
      </c>
      <c r="E1149" s="1">
        <v>131.0</v>
      </c>
      <c r="F1149" s="1">
        <f t="shared" si="2"/>
        <v>-47</v>
      </c>
      <c r="G1149" s="1">
        <f t="shared" si="3"/>
        <v>47</v>
      </c>
      <c r="H1149" s="6">
        <f t="shared" si="4"/>
        <v>0.2640449438</v>
      </c>
      <c r="I1149" s="6">
        <f t="shared" si="5"/>
        <v>0.7359550562</v>
      </c>
      <c r="J1149" s="1">
        <f t="shared" si="6"/>
        <v>-47</v>
      </c>
      <c r="K1149" s="1" t="str">
        <f t="shared" si="7"/>
        <v>Under Forecast</v>
      </c>
      <c r="L1149" s="1">
        <f>F1149+J1148</f>
        <v>-65</v>
      </c>
      <c r="M1149" s="7">
        <f t="shared" si="10"/>
        <v>58.70644599</v>
      </c>
      <c r="N1149" s="7">
        <f t="shared" si="8"/>
        <v>-1.107203799</v>
      </c>
      <c r="O1149" s="2" t="str">
        <f t="shared" si="9"/>
        <v>Acceptable</v>
      </c>
    </row>
    <row r="1150" ht="15.75" customHeight="1">
      <c r="A1150" s="1" t="s">
        <v>126</v>
      </c>
      <c r="B1150" s="1" t="s">
        <v>121</v>
      </c>
      <c r="C1150" s="1" t="s">
        <v>25</v>
      </c>
      <c r="D1150" s="1">
        <v>163.0</v>
      </c>
      <c r="E1150" s="1">
        <v>184.0</v>
      </c>
      <c r="F1150" s="1">
        <f t="shared" si="2"/>
        <v>21</v>
      </c>
      <c r="G1150" s="1">
        <f t="shared" si="3"/>
        <v>21</v>
      </c>
      <c r="H1150" s="6">
        <f t="shared" si="4"/>
        <v>0.1288343558</v>
      </c>
      <c r="I1150" s="6">
        <f t="shared" si="5"/>
        <v>0.8711656442</v>
      </c>
      <c r="J1150" s="1">
        <f t="shared" si="6"/>
        <v>21</v>
      </c>
      <c r="K1150" s="1" t="str">
        <f t="shared" si="7"/>
        <v>Over Forecast</v>
      </c>
      <c r="L1150" s="1">
        <f>F1150</f>
        <v>21</v>
      </c>
      <c r="M1150" s="7">
        <f t="shared" si="10"/>
        <v>58.67362924</v>
      </c>
      <c r="N1150" s="7">
        <f t="shared" si="8"/>
        <v>0.3579120684</v>
      </c>
      <c r="O1150" s="2" t="str">
        <f t="shared" si="9"/>
        <v>Acceptable</v>
      </c>
    </row>
    <row r="1151" ht="15.75" customHeight="1">
      <c r="A1151" s="1" t="s">
        <v>126</v>
      </c>
      <c r="B1151" s="1" t="s">
        <v>121</v>
      </c>
      <c r="C1151" s="1" t="s">
        <v>26</v>
      </c>
      <c r="D1151" s="1">
        <v>161.0</v>
      </c>
      <c r="E1151" s="1">
        <v>153.0</v>
      </c>
      <c r="F1151" s="1">
        <f t="shared" si="2"/>
        <v>-8</v>
      </c>
      <c r="G1151" s="1">
        <f t="shared" si="3"/>
        <v>8</v>
      </c>
      <c r="H1151" s="6">
        <f t="shared" si="4"/>
        <v>0.04968944099</v>
      </c>
      <c r="I1151" s="6">
        <f t="shared" si="5"/>
        <v>0.950310559</v>
      </c>
      <c r="J1151" s="1">
        <f t="shared" si="6"/>
        <v>-8</v>
      </c>
      <c r="K1151" s="1" t="str">
        <f t="shared" si="7"/>
        <v>Under Forecast</v>
      </c>
      <c r="L1151" s="1">
        <f>F1151+J1150</f>
        <v>13</v>
      </c>
      <c r="M1151" s="7">
        <f t="shared" si="10"/>
        <v>58.62956522</v>
      </c>
      <c r="N1151" s="7">
        <f t="shared" si="8"/>
        <v>0.2217311343</v>
      </c>
      <c r="O1151" s="2" t="str">
        <f t="shared" si="9"/>
        <v>Acceptable</v>
      </c>
    </row>
    <row r="1152" ht="15.75" customHeight="1">
      <c r="A1152" s="1" t="s">
        <v>126</v>
      </c>
      <c r="B1152" s="1" t="s">
        <v>121</v>
      </c>
      <c r="C1152" s="1" t="s">
        <v>27</v>
      </c>
      <c r="D1152" s="1">
        <v>173.0</v>
      </c>
      <c r="E1152" s="1">
        <v>230.0</v>
      </c>
      <c r="F1152" s="1">
        <f t="shared" si="2"/>
        <v>57</v>
      </c>
      <c r="G1152" s="1">
        <f t="shared" si="3"/>
        <v>57</v>
      </c>
      <c r="H1152" s="6">
        <f t="shared" si="4"/>
        <v>0.3294797688</v>
      </c>
      <c r="I1152" s="6">
        <f t="shared" si="5"/>
        <v>0.6705202312</v>
      </c>
      <c r="J1152" s="1">
        <f t="shared" si="6"/>
        <v>57</v>
      </c>
      <c r="K1152" s="1" t="str">
        <f t="shared" si="7"/>
        <v>Over Forecast</v>
      </c>
      <c r="L1152" s="1">
        <f>F1152</f>
        <v>57</v>
      </c>
      <c r="M1152" s="7">
        <f t="shared" si="10"/>
        <v>58.62814944</v>
      </c>
      <c r="N1152" s="7">
        <f t="shared" si="8"/>
        <v>0.9722292201</v>
      </c>
      <c r="O1152" s="2" t="str">
        <f t="shared" si="9"/>
        <v>Acceptable</v>
      </c>
    </row>
    <row r="1153" ht="15.75" customHeight="1">
      <c r="A1153" s="1" t="s">
        <v>126</v>
      </c>
      <c r="B1153" s="1" t="s">
        <v>121</v>
      </c>
      <c r="C1153" s="1" t="s">
        <v>28</v>
      </c>
      <c r="D1153" s="1">
        <v>156.0</v>
      </c>
      <c r="E1153" s="1">
        <v>169.0</v>
      </c>
      <c r="F1153" s="1">
        <f t="shared" si="2"/>
        <v>13</v>
      </c>
      <c r="G1153" s="1">
        <f t="shared" si="3"/>
        <v>13</v>
      </c>
      <c r="H1153" s="6">
        <f t="shared" si="4"/>
        <v>0.08333333333</v>
      </c>
      <c r="I1153" s="6">
        <f t="shared" si="5"/>
        <v>0.9166666667</v>
      </c>
      <c r="J1153" s="1">
        <f t="shared" si="6"/>
        <v>13</v>
      </c>
      <c r="K1153" s="1" t="str">
        <f t="shared" si="7"/>
        <v>Over Forecast</v>
      </c>
      <c r="L1153" s="1">
        <f>F1153+J1152</f>
        <v>70</v>
      </c>
      <c r="M1153" s="7">
        <f t="shared" si="10"/>
        <v>58.58854167</v>
      </c>
      <c r="N1153" s="7">
        <f t="shared" si="8"/>
        <v>1.194772869</v>
      </c>
      <c r="O1153" s="2" t="str">
        <f t="shared" si="9"/>
        <v>Acceptable</v>
      </c>
    </row>
    <row r="1154" ht="15.75" customHeight="1">
      <c r="A1154" s="1" t="s">
        <v>127</v>
      </c>
      <c r="B1154" s="1" t="s">
        <v>121</v>
      </c>
      <c r="C1154" s="1" t="s">
        <v>17</v>
      </c>
      <c r="D1154" s="1">
        <v>349.0</v>
      </c>
      <c r="E1154" s="1">
        <v>261.0</v>
      </c>
      <c r="F1154" s="1">
        <f t="shared" si="2"/>
        <v>-88</v>
      </c>
      <c r="G1154" s="1">
        <f t="shared" si="3"/>
        <v>88</v>
      </c>
      <c r="H1154" s="6">
        <f t="shared" si="4"/>
        <v>0.2521489971</v>
      </c>
      <c r="I1154" s="6">
        <f t="shared" si="5"/>
        <v>0.7478510029</v>
      </c>
      <c r="J1154" s="1">
        <f t="shared" si="6"/>
        <v>-88</v>
      </c>
      <c r="K1154" s="1" t="str">
        <f t="shared" si="7"/>
        <v>Under Forecast</v>
      </c>
      <c r="L1154" s="1">
        <f>F1154</f>
        <v>-88</v>
      </c>
      <c r="M1154" s="7">
        <f t="shared" si="10"/>
        <v>58.6140503</v>
      </c>
      <c r="N1154" s="7">
        <f t="shared" si="8"/>
        <v>-1.501346512</v>
      </c>
      <c r="O1154" s="2" t="str">
        <f t="shared" si="9"/>
        <v>Acceptable</v>
      </c>
    </row>
    <row r="1155" ht="15.75" customHeight="1">
      <c r="A1155" s="1" t="s">
        <v>127</v>
      </c>
      <c r="B1155" s="1" t="s">
        <v>121</v>
      </c>
      <c r="C1155" s="1" t="s">
        <v>18</v>
      </c>
      <c r="D1155" s="1">
        <v>372.0</v>
      </c>
      <c r="E1155" s="1">
        <v>445.0</v>
      </c>
      <c r="F1155" s="1">
        <f t="shared" si="2"/>
        <v>73</v>
      </c>
      <c r="G1155" s="1">
        <f t="shared" si="3"/>
        <v>73</v>
      </c>
      <c r="H1155" s="6">
        <f t="shared" si="4"/>
        <v>0.1962365591</v>
      </c>
      <c r="I1155" s="6">
        <f t="shared" si="5"/>
        <v>0.8037634409</v>
      </c>
      <c r="J1155" s="1">
        <f t="shared" si="6"/>
        <v>73</v>
      </c>
      <c r="K1155" s="1" t="str">
        <f t="shared" si="7"/>
        <v>Over Forecast</v>
      </c>
      <c r="L1155" s="1">
        <f>F1155+J1154</f>
        <v>-15</v>
      </c>
      <c r="M1155" s="7">
        <f t="shared" si="10"/>
        <v>58.62651646</v>
      </c>
      <c r="N1155" s="7">
        <f t="shared" si="8"/>
        <v>-0.2558569211</v>
      </c>
      <c r="O1155" s="2" t="str">
        <f t="shared" si="9"/>
        <v>Acceptable</v>
      </c>
    </row>
    <row r="1156" ht="15.75" customHeight="1">
      <c r="A1156" s="1" t="s">
        <v>127</v>
      </c>
      <c r="B1156" s="1" t="s">
        <v>121</v>
      </c>
      <c r="C1156" s="1" t="s">
        <v>19</v>
      </c>
      <c r="D1156" s="1">
        <v>394.0</v>
      </c>
      <c r="E1156" s="1">
        <v>289.0</v>
      </c>
      <c r="F1156" s="1">
        <f t="shared" si="2"/>
        <v>-105</v>
      </c>
      <c r="G1156" s="1">
        <f t="shared" si="3"/>
        <v>105</v>
      </c>
      <c r="H1156" s="6">
        <f t="shared" si="4"/>
        <v>0.2664974619</v>
      </c>
      <c r="I1156" s="6">
        <f t="shared" si="5"/>
        <v>0.7335025381</v>
      </c>
      <c r="J1156" s="1">
        <f t="shared" si="6"/>
        <v>-105</v>
      </c>
      <c r="K1156" s="1" t="str">
        <f t="shared" si="7"/>
        <v>Under Forecast</v>
      </c>
      <c r="L1156" s="1">
        <f>F1156</f>
        <v>-105</v>
      </c>
      <c r="M1156" s="7">
        <f t="shared" si="10"/>
        <v>58.66666667</v>
      </c>
      <c r="N1156" s="7">
        <f t="shared" si="8"/>
        <v>-1.789772727</v>
      </c>
      <c r="O1156" s="2" t="str">
        <f t="shared" si="9"/>
        <v>Acceptable</v>
      </c>
    </row>
    <row r="1157" ht="15.75" customHeight="1">
      <c r="A1157" s="1" t="s">
        <v>127</v>
      </c>
      <c r="B1157" s="1" t="s">
        <v>121</v>
      </c>
      <c r="C1157" s="1" t="s">
        <v>20</v>
      </c>
      <c r="D1157" s="1">
        <v>386.0</v>
      </c>
      <c r="E1157" s="1">
        <v>428.0</v>
      </c>
      <c r="F1157" s="1">
        <f t="shared" si="2"/>
        <v>42</v>
      </c>
      <c r="G1157" s="1">
        <f t="shared" si="3"/>
        <v>42</v>
      </c>
      <c r="H1157" s="6">
        <f t="shared" si="4"/>
        <v>0.1088082902</v>
      </c>
      <c r="I1157" s="6">
        <f t="shared" si="5"/>
        <v>0.8911917098</v>
      </c>
      <c r="J1157" s="1">
        <f t="shared" si="6"/>
        <v>42</v>
      </c>
      <c r="K1157" s="1" t="str">
        <f t="shared" si="7"/>
        <v>Over Forecast</v>
      </c>
      <c r="L1157" s="1">
        <f>F1157+J1156</f>
        <v>-63</v>
      </c>
      <c r="M1157" s="7">
        <f t="shared" si="10"/>
        <v>58.65224913</v>
      </c>
      <c r="N1157" s="7">
        <f t="shared" si="8"/>
        <v>-1.074127607</v>
      </c>
      <c r="O1157" s="2" t="str">
        <f t="shared" si="9"/>
        <v>Acceptable</v>
      </c>
    </row>
    <row r="1158" ht="15.75" customHeight="1">
      <c r="A1158" s="1" t="s">
        <v>127</v>
      </c>
      <c r="B1158" s="1" t="s">
        <v>121</v>
      </c>
      <c r="C1158" s="1" t="s">
        <v>21</v>
      </c>
      <c r="D1158" s="1">
        <v>381.0</v>
      </c>
      <c r="E1158" s="1">
        <v>379.0</v>
      </c>
      <c r="F1158" s="1">
        <f t="shared" si="2"/>
        <v>-2</v>
      </c>
      <c r="G1158" s="1">
        <f t="shared" si="3"/>
        <v>2</v>
      </c>
      <c r="H1158" s="6">
        <f t="shared" si="4"/>
        <v>0.005249343832</v>
      </c>
      <c r="I1158" s="6">
        <f t="shared" si="5"/>
        <v>0.9947506562</v>
      </c>
      <c r="J1158" s="1">
        <f t="shared" si="6"/>
        <v>-2</v>
      </c>
      <c r="K1158" s="1" t="str">
        <f t="shared" si="7"/>
        <v>Under Forecast</v>
      </c>
      <c r="L1158" s="1">
        <f>F1158</f>
        <v>-2</v>
      </c>
      <c r="M1158" s="7">
        <f t="shared" si="10"/>
        <v>58.60328436</v>
      </c>
      <c r="N1158" s="7">
        <f t="shared" si="8"/>
        <v>-0.03412778007</v>
      </c>
      <c r="O1158" s="2" t="str">
        <f t="shared" si="9"/>
        <v>Acceptable</v>
      </c>
    </row>
    <row r="1159" ht="15.75" customHeight="1">
      <c r="A1159" s="1" t="s">
        <v>127</v>
      </c>
      <c r="B1159" s="1" t="s">
        <v>121</v>
      </c>
      <c r="C1159" s="1" t="s">
        <v>22</v>
      </c>
      <c r="D1159" s="1">
        <v>366.0</v>
      </c>
      <c r="E1159" s="1">
        <v>448.0</v>
      </c>
      <c r="F1159" s="1">
        <f t="shared" si="2"/>
        <v>82</v>
      </c>
      <c r="G1159" s="1">
        <f t="shared" si="3"/>
        <v>82</v>
      </c>
      <c r="H1159" s="6">
        <f t="shared" si="4"/>
        <v>0.2240437158</v>
      </c>
      <c r="I1159" s="6">
        <f t="shared" si="5"/>
        <v>0.7759562842</v>
      </c>
      <c r="J1159" s="1">
        <f t="shared" si="6"/>
        <v>82</v>
      </c>
      <c r="K1159" s="1" t="str">
        <f t="shared" si="7"/>
        <v>Over Forecast</v>
      </c>
      <c r="L1159" s="1">
        <f>F1159+J1158</f>
        <v>80</v>
      </c>
      <c r="M1159" s="7">
        <f t="shared" si="10"/>
        <v>58.62348877</v>
      </c>
      <c r="N1159" s="7">
        <f t="shared" si="8"/>
        <v>1.364640721</v>
      </c>
      <c r="O1159" s="2" t="str">
        <f t="shared" si="9"/>
        <v>Acceptable</v>
      </c>
    </row>
    <row r="1160" ht="15.75" customHeight="1">
      <c r="A1160" s="1" t="s">
        <v>127</v>
      </c>
      <c r="B1160" s="1" t="s">
        <v>121</v>
      </c>
      <c r="C1160" s="1" t="s">
        <v>23</v>
      </c>
      <c r="D1160" s="1">
        <v>418.0</v>
      </c>
      <c r="E1160" s="1">
        <v>282.0</v>
      </c>
      <c r="F1160" s="1">
        <f t="shared" si="2"/>
        <v>-136</v>
      </c>
      <c r="G1160" s="1">
        <f t="shared" si="3"/>
        <v>136</v>
      </c>
      <c r="H1160" s="6">
        <f t="shared" si="4"/>
        <v>0.3253588517</v>
      </c>
      <c r="I1160" s="6">
        <f t="shared" si="5"/>
        <v>0.6746411483</v>
      </c>
      <c r="J1160" s="1">
        <f t="shared" si="6"/>
        <v>-136</v>
      </c>
      <c r="K1160" s="1" t="str">
        <f t="shared" si="7"/>
        <v>Under Forecast</v>
      </c>
      <c r="L1160" s="1">
        <f>F1160</f>
        <v>-136</v>
      </c>
      <c r="M1160" s="7">
        <f t="shared" si="10"/>
        <v>58.69025022</v>
      </c>
      <c r="N1160" s="7">
        <f t="shared" si="8"/>
        <v>-2.317250301</v>
      </c>
      <c r="O1160" s="2" t="str">
        <f t="shared" si="9"/>
        <v>Acceptable</v>
      </c>
    </row>
    <row r="1161" ht="15.75" customHeight="1">
      <c r="A1161" s="1" t="s">
        <v>127</v>
      </c>
      <c r="B1161" s="1" t="s">
        <v>121</v>
      </c>
      <c r="C1161" s="1" t="s">
        <v>24</v>
      </c>
      <c r="D1161" s="1">
        <v>417.0</v>
      </c>
      <c r="E1161" s="1">
        <v>418.0</v>
      </c>
      <c r="F1161" s="1">
        <f t="shared" si="2"/>
        <v>1</v>
      </c>
      <c r="G1161" s="1">
        <f t="shared" si="3"/>
        <v>1</v>
      </c>
      <c r="H1161" s="6">
        <f t="shared" si="4"/>
        <v>0.002398081535</v>
      </c>
      <c r="I1161" s="6">
        <f t="shared" si="5"/>
        <v>0.9976019185</v>
      </c>
      <c r="J1161" s="1">
        <f t="shared" si="6"/>
        <v>1</v>
      </c>
      <c r="K1161" s="1" t="str">
        <f t="shared" si="7"/>
        <v>Over Forecast</v>
      </c>
      <c r="L1161" s="1">
        <f>F1161+J1160</f>
        <v>-135</v>
      </c>
      <c r="M1161" s="7">
        <f t="shared" si="10"/>
        <v>58.64051724</v>
      </c>
      <c r="N1161" s="7">
        <f t="shared" si="8"/>
        <v>-2.302162504</v>
      </c>
      <c r="O1161" s="2" t="str">
        <f t="shared" si="9"/>
        <v>Acceptable</v>
      </c>
    </row>
    <row r="1162" ht="15.75" customHeight="1">
      <c r="A1162" s="1" t="s">
        <v>127</v>
      </c>
      <c r="B1162" s="1" t="s">
        <v>121</v>
      </c>
      <c r="C1162" s="1" t="s">
        <v>25</v>
      </c>
      <c r="D1162" s="1">
        <v>348.0</v>
      </c>
      <c r="E1162" s="1">
        <v>489.0</v>
      </c>
      <c r="F1162" s="1">
        <f t="shared" si="2"/>
        <v>141</v>
      </c>
      <c r="G1162" s="1">
        <f t="shared" si="3"/>
        <v>141</v>
      </c>
      <c r="H1162" s="6">
        <f t="shared" si="4"/>
        <v>0.4051724138</v>
      </c>
      <c r="I1162" s="6">
        <f t="shared" si="5"/>
        <v>0.5948275862</v>
      </c>
      <c r="J1162" s="1">
        <f t="shared" si="6"/>
        <v>141</v>
      </c>
      <c r="K1162" s="1" t="str">
        <f t="shared" si="7"/>
        <v>Over Forecast</v>
      </c>
      <c r="L1162" s="1">
        <f>F1162</f>
        <v>141</v>
      </c>
      <c r="M1162" s="7">
        <f t="shared" si="10"/>
        <v>58.71145564</v>
      </c>
      <c r="N1162" s="7">
        <f t="shared" si="8"/>
        <v>2.401575612</v>
      </c>
      <c r="O1162" s="2" t="str">
        <f t="shared" si="9"/>
        <v>Acceptable</v>
      </c>
    </row>
    <row r="1163" ht="15.75" customHeight="1">
      <c r="A1163" s="1" t="s">
        <v>127</v>
      </c>
      <c r="B1163" s="1" t="s">
        <v>121</v>
      </c>
      <c r="C1163" s="1" t="s">
        <v>26</v>
      </c>
      <c r="D1163" s="1">
        <v>413.0</v>
      </c>
      <c r="E1163" s="1">
        <v>429.0</v>
      </c>
      <c r="F1163" s="1">
        <f t="shared" si="2"/>
        <v>16</v>
      </c>
      <c r="G1163" s="1">
        <f t="shared" si="3"/>
        <v>16</v>
      </c>
      <c r="H1163" s="6">
        <f t="shared" si="4"/>
        <v>0.0387409201</v>
      </c>
      <c r="I1163" s="6">
        <f t="shared" si="5"/>
        <v>0.9612590799</v>
      </c>
      <c r="J1163" s="1">
        <f t="shared" si="6"/>
        <v>16</v>
      </c>
      <c r="K1163" s="1" t="str">
        <f t="shared" si="7"/>
        <v>Over Forecast</v>
      </c>
      <c r="L1163" s="1">
        <f>F1163+J1162</f>
        <v>157</v>
      </c>
      <c r="M1163" s="7">
        <f t="shared" si="10"/>
        <v>58.6746988</v>
      </c>
      <c r="N1163" s="7">
        <f t="shared" si="8"/>
        <v>2.675770021</v>
      </c>
      <c r="O1163" s="2" t="str">
        <f t="shared" si="9"/>
        <v>Acceptable</v>
      </c>
    </row>
    <row r="1164" ht="15.75" customHeight="1">
      <c r="A1164" s="1" t="s">
        <v>127</v>
      </c>
      <c r="B1164" s="1" t="s">
        <v>121</v>
      </c>
      <c r="C1164" s="1" t="s">
        <v>27</v>
      </c>
      <c r="D1164" s="1">
        <v>344.0</v>
      </c>
      <c r="E1164" s="1">
        <v>424.0</v>
      </c>
      <c r="F1164" s="1">
        <f t="shared" si="2"/>
        <v>80</v>
      </c>
      <c r="G1164" s="1">
        <f t="shared" si="3"/>
        <v>80</v>
      </c>
      <c r="H1164" s="6">
        <f t="shared" si="4"/>
        <v>0.2325581395</v>
      </c>
      <c r="I1164" s="6">
        <f t="shared" si="5"/>
        <v>0.7674418605</v>
      </c>
      <c r="J1164" s="1">
        <f t="shared" si="6"/>
        <v>80</v>
      </c>
      <c r="K1164" s="1" t="str">
        <f t="shared" si="7"/>
        <v>Over Forecast</v>
      </c>
      <c r="L1164" s="1">
        <f>F1164</f>
        <v>80</v>
      </c>
      <c r="M1164" s="7">
        <f t="shared" si="10"/>
        <v>58.69303525</v>
      </c>
      <c r="N1164" s="7">
        <f t="shared" si="8"/>
        <v>1.363023733</v>
      </c>
      <c r="O1164" s="2" t="str">
        <f t="shared" si="9"/>
        <v>Acceptable</v>
      </c>
    </row>
    <row r="1165" ht="15.75" customHeight="1">
      <c r="A1165" s="1" t="s">
        <v>127</v>
      </c>
      <c r="B1165" s="1" t="s">
        <v>121</v>
      </c>
      <c r="C1165" s="1" t="s">
        <v>28</v>
      </c>
      <c r="D1165" s="1">
        <v>366.0</v>
      </c>
      <c r="E1165" s="1">
        <v>319.0</v>
      </c>
      <c r="F1165" s="1">
        <f t="shared" si="2"/>
        <v>-47</v>
      </c>
      <c r="G1165" s="1">
        <f t="shared" si="3"/>
        <v>47</v>
      </c>
      <c r="H1165" s="6">
        <f t="shared" si="4"/>
        <v>0.1284153005</v>
      </c>
      <c r="I1165" s="6">
        <f t="shared" si="5"/>
        <v>0.8715846995</v>
      </c>
      <c r="J1165" s="1">
        <f t="shared" si="6"/>
        <v>-47</v>
      </c>
      <c r="K1165" s="1" t="str">
        <f t="shared" si="7"/>
        <v>Under Forecast</v>
      </c>
      <c r="L1165" s="1">
        <f>F1165+J1164</f>
        <v>33</v>
      </c>
      <c r="M1165" s="7">
        <f t="shared" si="10"/>
        <v>58.68298969</v>
      </c>
      <c r="N1165" s="7">
        <f t="shared" si="8"/>
        <v>0.5623435373</v>
      </c>
      <c r="O1165" s="2" t="str">
        <f t="shared" si="9"/>
        <v>Acceptable</v>
      </c>
    </row>
    <row r="1166" ht="15.75" customHeight="1">
      <c r="A1166" s="1" t="s">
        <v>128</v>
      </c>
      <c r="B1166" s="1" t="s">
        <v>121</v>
      </c>
      <c r="C1166" s="1" t="s">
        <v>17</v>
      </c>
      <c r="D1166" s="1">
        <v>292.0</v>
      </c>
      <c r="E1166" s="1">
        <v>344.0</v>
      </c>
      <c r="F1166" s="1">
        <f t="shared" si="2"/>
        <v>52</v>
      </c>
      <c r="G1166" s="1">
        <f t="shared" si="3"/>
        <v>52</v>
      </c>
      <c r="H1166" s="6">
        <f t="shared" si="4"/>
        <v>0.1780821918</v>
      </c>
      <c r="I1166" s="6">
        <f t="shared" si="5"/>
        <v>0.8219178082</v>
      </c>
      <c r="J1166" s="1">
        <f t="shared" si="6"/>
        <v>52</v>
      </c>
      <c r="K1166" s="1" t="str">
        <f t="shared" si="7"/>
        <v>Over Forecast</v>
      </c>
      <c r="L1166" s="1">
        <f>F1166</f>
        <v>52</v>
      </c>
      <c r="M1166" s="7">
        <f t="shared" si="10"/>
        <v>58.67725322</v>
      </c>
      <c r="N1166" s="7">
        <f t="shared" si="8"/>
        <v>0.8862037186</v>
      </c>
      <c r="O1166" s="2" t="str">
        <f t="shared" si="9"/>
        <v>Acceptable</v>
      </c>
    </row>
    <row r="1167" ht="15.75" customHeight="1">
      <c r="A1167" s="1" t="s">
        <v>128</v>
      </c>
      <c r="B1167" s="1" t="s">
        <v>121</v>
      </c>
      <c r="C1167" s="1" t="s">
        <v>18</v>
      </c>
      <c r="D1167" s="1">
        <v>314.0</v>
      </c>
      <c r="E1167" s="1">
        <v>307.0</v>
      </c>
      <c r="F1167" s="1">
        <f t="shared" si="2"/>
        <v>-7</v>
      </c>
      <c r="G1167" s="1">
        <f t="shared" si="3"/>
        <v>7</v>
      </c>
      <c r="H1167" s="6">
        <f t="shared" si="4"/>
        <v>0.02229299363</v>
      </c>
      <c r="I1167" s="6">
        <f t="shared" si="5"/>
        <v>0.9777070064</v>
      </c>
      <c r="J1167" s="1">
        <f t="shared" si="6"/>
        <v>-7</v>
      </c>
      <c r="K1167" s="1" t="str">
        <f t="shared" si="7"/>
        <v>Under Forecast</v>
      </c>
      <c r="L1167" s="1">
        <f>F1167+J1166</f>
        <v>45</v>
      </c>
      <c r="M1167" s="7">
        <f t="shared" si="10"/>
        <v>58.6329331</v>
      </c>
      <c r="N1167" s="7">
        <f t="shared" si="8"/>
        <v>0.7674867624</v>
      </c>
      <c r="O1167" s="2" t="str">
        <f t="shared" si="9"/>
        <v>Acceptable</v>
      </c>
    </row>
    <row r="1168" ht="15.75" customHeight="1">
      <c r="A1168" s="1" t="s">
        <v>128</v>
      </c>
      <c r="B1168" s="1" t="s">
        <v>121</v>
      </c>
      <c r="C1168" s="1" t="s">
        <v>19</v>
      </c>
      <c r="D1168" s="1">
        <v>334.0</v>
      </c>
      <c r="E1168" s="1">
        <v>344.0</v>
      </c>
      <c r="F1168" s="1">
        <f t="shared" si="2"/>
        <v>10</v>
      </c>
      <c r="G1168" s="1">
        <f t="shared" si="3"/>
        <v>10</v>
      </c>
      <c r="H1168" s="6">
        <f t="shared" si="4"/>
        <v>0.02994011976</v>
      </c>
      <c r="I1168" s="6">
        <f t="shared" si="5"/>
        <v>0.9700598802</v>
      </c>
      <c r="J1168" s="1">
        <f t="shared" si="6"/>
        <v>10</v>
      </c>
      <c r="K1168" s="1" t="str">
        <f t="shared" si="7"/>
        <v>Over Forecast</v>
      </c>
      <c r="L1168" s="1">
        <f>F1168</f>
        <v>10</v>
      </c>
      <c r="M1168" s="7">
        <f t="shared" si="10"/>
        <v>58.59125964</v>
      </c>
      <c r="N1168" s="7">
        <f t="shared" si="8"/>
        <v>0.1706739207</v>
      </c>
      <c r="O1168" s="2" t="str">
        <f t="shared" si="9"/>
        <v>Acceptable</v>
      </c>
    </row>
    <row r="1169" ht="15.75" customHeight="1">
      <c r="A1169" s="1" t="s">
        <v>128</v>
      </c>
      <c r="B1169" s="1" t="s">
        <v>121</v>
      </c>
      <c r="C1169" s="1" t="s">
        <v>20</v>
      </c>
      <c r="D1169" s="1">
        <v>370.0</v>
      </c>
      <c r="E1169" s="1">
        <v>501.0</v>
      </c>
      <c r="F1169" s="1">
        <f t="shared" si="2"/>
        <v>131</v>
      </c>
      <c r="G1169" s="1">
        <f t="shared" si="3"/>
        <v>131</v>
      </c>
      <c r="H1169" s="6">
        <f t="shared" si="4"/>
        <v>0.3540540541</v>
      </c>
      <c r="I1169" s="6">
        <f t="shared" si="5"/>
        <v>0.6459459459</v>
      </c>
      <c r="J1169" s="1">
        <f t="shared" si="6"/>
        <v>131</v>
      </c>
      <c r="K1169" s="1" t="str">
        <f t="shared" si="7"/>
        <v>Over Forecast</v>
      </c>
      <c r="L1169" s="1">
        <f>F1169+J1168</f>
        <v>141</v>
      </c>
      <c r="M1169" s="7">
        <f t="shared" si="10"/>
        <v>58.65325342</v>
      </c>
      <c r="N1169" s="7">
        <f t="shared" si="8"/>
        <v>2.40395872</v>
      </c>
      <c r="O1169" s="2" t="str">
        <f t="shared" si="9"/>
        <v>Acceptable</v>
      </c>
    </row>
    <row r="1170" ht="15.75" customHeight="1">
      <c r="A1170" s="1" t="s">
        <v>128</v>
      </c>
      <c r="B1170" s="1" t="s">
        <v>121</v>
      </c>
      <c r="C1170" s="1" t="s">
        <v>21</v>
      </c>
      <c r="D1170" s="1">
        <v>349.0</v>
      </c>
      <c r="E1170" s="1">
        <v>429.0</v>
      </c>
      <c r="F1170" s="1">
        <f t="shared" si="2"/>
        <v>80</v>
      </c>
      <c r="G1170" s="1">
        <f t="shared" si="3"/>
        <v>80</v>
      </c>
      <c r="H1170" s="6">
        <f t="shared" si="4"/>
        <v>0.229226361</v>
      </c>
      <c r="I1170" s="6">
        <f t="shared" si="5"/>
        <v>0.770773639</v>
      </c>
      <c r="J1170" s="1">
        <f t="shared" si="6"/>
        <v>80</v>
      </c>
      <c r="K1170" s="1" t="str">
        <f t="shared" si="7"/>
        <v>Over Forecast</v>
      </c>
      <c r="L1170" s="1">
        <f>F1170</f>
        <v>80</v>
      </c>
      <c r="M1170" s="7">
        <f t="shared" si="10"/>
        <v>58.67151411</v>
      </c>
      <c r="N1170" s="7">
        <f t="shared" si="8"/>
        <v>1.3635237</v>
      </c>
      <c r="O1170" s="2" t="str">
        <f t="shared" si="9"/>
        <v>Acceptable</v>
      </c>
    </row>
    <row r="1171" ht="15.75" customHeight="1">
      <c r="A1171" s="1" t="s">
        <v>128</v>
      </c>
      <c r="B1171" s="1" t="s">
        <v>121</v>
      </c>
      <c r="C1171" s="1" t="s">
        <v>22</v>
      </c>
      <c r="D1171" s="1">
        <v>381.0</v>
      </c>
      <c r="E1171" s="1">
        <v>391.0</v>
      </c>
      <c r="F1171" s="1">
        <f t="shared" si="2"/>
        <v>10</v>
      </c>
      <c r="G1171" s="1">
        <f t="shared" si="3"/>
        <v>10</v>
      </c>
      <c r="H1171" s="6">
        <f t="shared" si="4"/>
        <v>0.02624671916</v>
      </c>
      <c r="I1171" s="6">
        <f t="shared" si="5"/>
        <v>0.9737532808</v>
      </c>
      <c r="J1171" s="1">
        <f t="shared" si="6"/>
        <v>10</v>
      </c>
      <c r="K1171" s="1" t="str">
        <f t="shared" si="7"/>
        <v>Over Forecast</v>
      </c>
      <c r="L1171" s="1">
        <f>F1171+J1170</f>
        <v>90</v>
      </c>
      <c r="M1171" s="7">
        <f t="shared" si="10"/>
        <v>58.62991453</v>
      </c>
      <c r="N1171" s="7">
        <f t="shared" si="8"/>
        <v>1.535052553</v>
      </c>
      <c r="O1171" s="2" t="str">
        <f t="shared" si="9"/>
        <v>Acceptable</v>
      </c>
    </row>
    <row r="1172" ht="15.75" customHeight="1">
      <c r="A1172" s="1" t="s">
        <v>128</v>
      </c>
      <c r="B1172" s="1" t="s">
        <v>121</v>
      </c>
      <c r="C1172" s="1" t="s">
        <v>23</v>
      </c>
      <c r="D1172" s="1">
        <v>403.0</v>
      </c>
      <c r="E1172" s="1">
        <v>294.0</v>
      </c>
      <c r="F1172" s="1">
        <f t="shared" si="2"/>
        <v>-109</v>
      </c>
      <c r="G1172" s="1">
        <f t="shared" si="3"/>
        <v>109</v>
      </c>
      <c r="H1172" s="6">
        <f t="shared" si="4"/>
        <v>0.270471464</v>
      </c>
      <c r="I1172" s="6">
        <f t="shared" si="5"/>
        <v>0.729528536</v>
      </c>
      <c r="J1172" s="1">
        <f t="shared" si="6"/>
        <v>-109</v>
      </c>
      <c r="K1172" s="1" t="str">
        <f t="shared" si="7"/>
        <v>Under Forecast</v>
      </c>
      <c r="L1172" s="1">
        <f>F1172</f>
        <v>-109</v>
      </c>
      <c r="M1172" s="7">
        <f t="shared" si="10"/>
        <v>58.67292912</v>
      </c>
      <c r="N1172" s="7">
        <f t="shared" si="8"/>
        <v>-1.857756237</v>
      </c>
      <c r="O1172" s="2" t="str">
        <f t="shared" si="9"/>
        <v>Acceptable</v>
      </c>
    </row>
    <row r="1173" ht="15.75" customHeight="1">
      <c r="A1173" s="1" t="s">
        <v>128</v>
      </c>
      <c r="B1173" s="1" t="s">
        <v>121</v>
      </c>
      <c r="C1173" s="1" t="s">
        <v>24</v>
      </c>
      <c r="D1173" s="1">
        <v>329.0</v>
      </c>
      <c r="E1173" s="1">
        <v>412.0</v>
      </c>
      <c r="F1173" s="1">
        <f t="shared" si="2"/>
        <v>83</v>
      </c>
      <c r="G1173" s="1">
        <f t="shared" si="3"/>
        <v>83</v>
      </c>
      <c r="H1173" s="6">
        <f t="shared" si="4"/>
        <v>0.2522796353</v>
      </c>
      <c r="I1173" s="6">
        <f t="shared" si="5"/>
        <v>0.7477203647</v>
      </c>
      <c r="J1173" s="1">
        <f t="shared" si="6"/>
        <v>83</v>
      </c>
      <c r="K1173" s="1" t="str">
        <f t="shared" si="7"/>
        <v>Over Forecast</v>
      </c>
      <c r="L1173" s="1">
        <f>F1173+J1172</f>
        <v>-26</v>
      </c>
      <c r="M1173" s="7">
        <f t="shared" si="10"/>
        <v>58.69368601</v>
      </c>
      <c r="N1173" s="7">
        <f t="shared" si="8"/>
        <v>-0.4429778017</v>
      </c>
      <c r="O1173" s="2" t="str">
        <f t="shared" si="9"/>
        <v>Acceptable</v>
      </c>
    </row>
    <row r="1174" ht="15.75" customHeight="1">
      <c r="A1174" s="1" t="s">
        <v>128</v>
      </c>
      <c r="B1174" s="1" t="s">
        <v>121</v>
      </c>
      <c r="C1174" s="1" t="s">
        <v>25</v>
      </c>
      <c r="D1174" s="1">
        <v>333.0</v>
      </c>
      <c r="E1174" s="1">
        <v>415.0</v>
      </c>
      <c r="F1174" s="1">
        <f t="shared" si="2"/>
        <v>82</v>
      </c>
      <c r="G1174" s="1">
        <f t="shared" si="3"/>
        <v>82</v>
      </c>
      <c r="H1174" s="6">
        <f t="shared" si="4"/>
        <v>0.2462462462</v>
      </c>
      <c r="I1174" s="6">
        <f t="shared" si="5"/>
        <v>0.7537537538</v>
      </c>
      <c r="J1174" s="1">
        <f t="shared" si="6"/>
        <v>82</v>
      </c>
      <c r="K1174" s="1" t="str">
        <f t="shared" si="7"/>
        <v>Over Forecast</v>
      </c>
      <c r="L1174" s="1">
        <f>F1174</f>
        <v>82</v>
      </c>
      <c r="M1174" s="7">
        <f t="shared" si="10"/>
        <v>58.71355499</v>
      </c>
      <c r="N1174" s="7">
        <f t="shared" si="8"/>
        <v>1.396611055</v>
      </c>
      <c r="O1174" s="2" t="str">
        <f t="shared" si="9"/>
        <v>Acceptable</v>
      </c>
    </row>
    <row r="1175" ht="15.75" customHeight="1">
      <c r="A1175" s="1" t="s">
        <v>128</v>
      </c>
      <c r="B1175" s="1" t="s">
        <v>121</v>
      </c>
      <c r="C1175" s="1" t="s">
        <v>26</v>
      </c>
      <c r="D1175" s="1">
        <v>357.0</v>
      </c>
      <c r="E1175" s="1">
        <v>221.0</v>
      </c>
      <c r="F1175" s="1">
        <f t="shared" si="2"/>
        <v>-136</v>
      </c>
      <c r="G1175" s="1">
        <f t="shared" si="3"/>
        <v>136</v>
      </c>
      <c r="H1175" s="6">
        <f t="shared" si="4"/>
        <v>0.380952381</v>
      </c>
      <c r="I1175" s="6">
        <f t="shared" si="5"/>
        <v>0.619047619</v>
      </c>
      <c r="J1175" s="1">
        <f t="shared" si="6"/>
        <v>-136</v>
      </c>
      <c r="K1175" s="1" t="str">
        <f t="shared" si="7"/>
        <v>Under Forecast</v>
      </c>
      <c r="L1175" s="1">
        <f>F1175+J1174</f>
        <v>-54</v>
      </c>
      <c r="M1175" s="7">
        <f t="shared" si="10"/>
        <v>58.77938671</v>
      </c>
      <c r="N1175" s="7">
        <f t="shared" si="8"/>
        <v>-0.9186894083</v>
      </c>
      <c r="O1175" s="2" t="str">
        <f t="shared" si="9"/>
        <v>Acceptable</v>
      </c>
    </row>
    <row r="1176" ht="15.75" customHeight="1">
      <c r="A1176" s="1" t="s">
        <v>128</v>
      </c>
      <c r="B1176" s="1" t="s">
        <v>121</v>
      </c>
      <c r="C1176" s="1" t="s">
        <v>27</v>
      </c>
      <c r="D1176" s="1">
        <v>350.0</v>
      </c>
      <c r="E1176" s="1">
        <v>325.0</v>
      </c>
      <c r="F1176" s="1">
        <f t="shared" si="2"/>
        <v>-25</v>
      </c>
      <c r="G1176" s="1">
        <f t="shared" si="3"/>
        <v>25</v>
      </c>
      <c r="H1176" s="6">
        <f t="shared" si="4"/>
        <v>0.07142857143</v>
      </c>
      <c r="I1176" s="6">
        <f t="shared" si="5"/>
        <v>0.9285714286</v>
      </c>
      <c r="J1176" s="1">
        <f t="shared" si="6"/>
        <v>-25</v>
      </c>
      <c r="K1176" s="1" t="str">
        <f t="shared" si="7"/>
        <v>Under Forecast</v>
      </c>
      <c r="L1176" s="1">
        <f>F1176</f>
        <v>-25</v>
      </c>
      <c r="M1176" s="7">
        <f t="shared" si="10"/>
        <v>58.7506383</v>
      </c>
      <c r="N1176" s="7">
        <f t="shared" si="8"/>
        <v>-0.4255272917</v>
      </c>
      <c r="O1176" s="2" t="str">
        <f t="shared" si="9"/>
        <v>Acceptable</v>
      </c>
    </row>
    <row r="1177" ht="15.75" customHeight="1">
      <c r="A1177" s="1" t="s">
        <v>128</v>
      </c>
      <c r="B1177" s="1" t="s">
        <v>121</v>
      </c>
      <c r="C1177" s="1" t="s">
        <v>28</v>
      </c>
      <c r="D1177" s="1">
        <v>316.0</v>
      </c>
      <c r="E1177" s="1">
        <v>338.0</v>
      </c>
      <c r="F1177" s="1">
        <f t="shared" si="2"/>
        <v>22</v>
      </c>
      <c r="G1177" s="1">
        <f t="shared" si="3"/>
        <v>22</v>
      </c>
      <c r="H1177" s="6">
        <f t="shared" si="4"/>
        <v>0.06962025316</v>
      </c>
      <c r="I1177" s="6">
        <f t="shared" si="5"/>
        <v>0.9303797468</v>
      </c>
      <c r="J1177" s="1">
        <f t="shared" si="6"/>
        <v>22</v>
      </c>
      <c r="K1177" s="1" t="str">
        <f t="shared" si="7"/>
        <v>Over Forecast</v>
      </c>
      <c r="L1177" s="1">
        <f>F1177+J1176</f>
        <v>-3</v>
      </c>
      <c r="M1177" s="7">
        <f t="shared" si="10"/>
        <v>58.71938776</v>
      </c>
      <c r="N1177" s="7">
        <f t="shared" si="8"/>
        <v>-0.05109045095</v>
      </c>
      <c r="O1177" s="2" t="str">
        <f t="shared" si="9"/>
        <v>Acceptable</v>
      </c>
    </row>
    <row r="1178" ht="15.75" customHeight="1">
      <c r="A1178" s="1" t="s">
        <v>129</v>
      </c>
      <c r="B1178" s="1" t="s">
        <v>121</v>
      </c>
      <c r="C1178" s="1" t="s">
        <v>17</v>
      </c>
      <c r="D1178" s="1">
        <v>393.0</v>
      </c>
      <c r="E1178" s="1">
        <v>527.0</v>
      </c>
      <c r="F1178" s="1">
        <f t="shared" si="2"/>
        <v>134</v>
      </c>
      <c r="G1178" s="1">
        <f t="shared" si="3"/>
        <v>134</v>
      </c>
      <c r="H1178" s="6">
        <f t="shared" si="4"/>
        <v>0.3409669211</v>
      </c>
      <c r="I1178" s="6">
        <f t="shared" si="5"/>
        <v>0.6590330789</v>
      </c>
      <c r="J1178" s="1">
        <f t="shared" si="6"/>
        <v>134</v>
      </c>
      <c r="K1178" s="1" t="str">
        <f t="shared" si="7"/>
        <v>Over Forecast</v>
      </c>
      <c r="L1178" s="1">
        <f>F1178</f>
        <v>134</v>
      </c>
      <c r="M1178" s="7">
        <f t="shared" si="10"/>
        <v>58.78334749</v>
      </c>
      <c r="N1178" s="7">
        <f t="shared" si="8"/>
        <v>2.279557149</v>
      </c>
      <c r="O1178" s="2" t="str">
        <f t="shared" si="9"/>
        <v>Acceptable</v>
      </c>
    </row>
    <row r="1179" ht="15.75" customHeight="1">
      <c r="A1179" s="1" t="s">
        <v>129</v>
      </c>
      <c r="B1179" s="1" t="s">
        <v>121</v>
      </c>
      <c r="C1179" s="1" t="s">
        <v>18</v>
      </c>
      <c r="D1179" s="1">
        <v>356.0</v>
      </c>
      <c r="E1179" s="1">
        <v>461.0</v>
      </c>
      <c r="F1179" s="1">
        <f t="shared" si="2"/>
        <v>105</v>
      </c>
      <c r="G1179" s="1">
        <f t="shared" si="3"/>
        <v>105</v>
      </c>
      <c r="H1179" s="6">
        <f t="shared" si="4"/>
        <v>0.2949438202</v>
      </c>
      <c r="I1179" s="6">
        <f t="shared" si="5"/>
        <v>0.7050561798</v>
      </c>
      <c r="J1179" s="1">
        <f t="shared" si="6"/>
        <v>105</v>
      </c>
      <c r="K1179" s="1" t="str">
        <f t="shared" si="7"/>
        <v>Over Forecast</v>
      </c>
      <c r="L1179" s="1">
        <f>F1179+J1178</f>
        <v>239</v>
      </c>
      <c r="M1179" s="7">
        <f t="shared" si="10"/>
        <v>58.82258065</v>
      </c>
      <c r="N1179" s="7">
        <f t="shared" si="8"/>
        <v>4.063065533</v>
      </c>
      <c r="O1179" s="2" t="str">
        <f t="shared" si="9"/>
        <v>Over Forecasting Problem</v>
      </c>
    </row>
    <row r="1180" ht="15.75" customHeight="1">
      <c r="A1180" s="1" t="s">
        <v>129</v>
      </c>
      <c r="B1180" s="1" t="s">
        <v>121</v>
      </c>
      <c r="C1180" s="1" t="s">
        <v>19</v>
      </c>
      <c r="D1180" s="1">
        <v>419.0</v>
      </c>
      <c r="E1180" s="1">
        <v>463.0</v>
      </c>
      <c r="F1180" s="1">
        <f t="shared" si="2"/>
        <v>44</v>
      </c>
      <c r="G1180" s="1">
        <f t="shared" si="3"/>
        <v>44</v>
      </c>
      <c r="H1180" s="6">
        <f t="shared" si="4"/>
        <v>0.1050119332</v>
      </c>
      <c r="I1180" s="6">
        <f t="shared" si="5"/>
        <v>0.8949880668</v>
      </c>
      <c r="J1180" s="1">
        <f t="shared" si="6"/>
        <v>44</v>
      </c>
      <c r="K1180" s="1" t="str">
        <f t="shared" si="7"/>
        <v>Over Forecast</v>
      </c>
      <c r="L1180" s="1">
        <f>F1180</f>
        <v>44</v>
      </c>
      <c r="M1180" s="7">
        <f t="shared" si="10"/>
        <v>58.81000848</v>
      </c>
      <c r="N1180" s="7">
        <f t="shared" si="8"/>
        <v>0.7481719717</v>
      </c>
      <c r="O1180" s="2" t="str">
        <f t="shared" si="9"/>
        <v>Acceptable</v>
      </c>
    </row>
    <row r="1181" ht="15.75" customHeight="1">
      <c r="A1181" s="1" t="s">
        <v>129</v>
      </c>
      <c r="B1181" s="1" t="s">
        <v>121</v>
      </c>
      <c r="C1181" s="1" t="s">
        <v>20</v>
      </c>
      <c r="D1181" s="1">
        <v>450.0</v>
      </c>
      <c r="E1181" s="1">
        <v>565.0</v>
      </c>
      <c r="F1181" s="1">
        <f t="shared" si="2"/>
        <v>115</v>
      </c>
      <c r="G1181" s="1">
        <f t="shared" si="3"/>
        <v>115</v>
      </c>
      <c r="H1181" s="6">
        <f t="shared" si="4"/>
        <v>0.2555555556</v>
      </c>
      <c r="I1181" s="6">
        <f t="shared" si="5"/>
        <v>0.7444444444</v>
      </c>
      <c r="J1181" s="1">
        <f t="shared" si="6"/>
        <v>115</v>
      </c>
      <c r="K1181" s="1" t="str">
        <f t="shared" si="7"/>
        <v>Over Forecast</v>
      </c>
      <c r="L1181" s="1">
        <f>F1181+J1180</f>
        <v>159</v>
      </c>
      <c r="M1181" s="7">
        <f t="shared" si="10"/>
        <v>58.85762712</v>
      </c>
      <c r="N1181" s="7">
        <f t="shared" si="8"/>
        <v>2.701434084</v>
      </c>
      <c r="O1181" s="2" t="str">
        <f t="shared" si="9"/>
        <v>Acceptable</v>
      </c>
    </row>
    <row r="1182" ht="15.75" customHeight="1">
      <c r="A1182" s="1" t="s">
        <v>129</v>
      </c>
      <c r="B1182" s="1" t="s">
        <v>121</v>
      </c>
      <c r="C1182" s="1" t="s">
        <v>21</v>
      </c>
      <c r="D1182" s="1">
        <v>443.0</v>
      </c>
      <c r="E1182" s="1">
        <v>525.0</v>
      </c>
      <c r="F1182" s="1">
        <f t="shared" si="2"/>
        <v>82</v>
      </c>
      <c r="G1182" s="1">
        <f t="shared" si="3"/>
        <v>82</v>
      </c>
      <c r="H1182" s="6">
        <f t="shared" si="4"/>
        <v>0.1851015801</v>
      </c>
      <c r="I1182" s="6">
        <f t="shared" si="5"/>
        <v>0.8148984199</v>
      </c>
      <c r="J1182" s="1">
        <f t="shared" si="6"/>
        <v>82</v>
      </c>
      <c r="K1182" s="1" t="str">
        <f t="shared" si="7"/>
        <v>Over Forecast</v>
      </c>
      <c r="L1182" s="1">
        <f>F1182</f>
        <v>82</v>
      </c>
      <c r="M1182" s="7">
        <f t="shared" si="10"/>
        <v>58.87722269</v>
      </c>
      <c r="N1182" s="7">
        <f t="shared" si="8"/>
        <v>1.392728737</v>
      </c>
      <c r="O1182" s="2" t="str">
        <f t="shared" si="9"/>
        <v>Acceptable</v>
      </c>
    </row>
    <row r="1183" ht="15.75" customHeight="1">
      <c r="A1183" s="1" t="s">
        <v>129</v>
      </c>
      <c r="B1183" s="1" t="s">
        <v>121</v>
      </c>
      <c r="C1183" s="1" t="s">
        <v>22</v>
      </c>
      <c r="D1183" s="1">
        <v>479.0</v>
      </c>
      <c r="E1183" s="1">
        <v>591.0</v>
      </c>
      <c r="F1183" s="1">
        <f t="shared" si="2"/>
        <v>112</v>
      </c>
      <c r="G1183" s="1">
        <f t="shared" si="3"/>
        <v>112</v>
      </c>
      <c r="H1183" s="6">
        <f t="shared" si="4"/>
        <v>0.2338204593</v>
      </c>
      <c r="I1183" s="6">
        <f t="shared" si="5"/>
        <v>0.7661795407</v>
      </c>
      <c r="J1183" s="1">
        <f t="shared" si="6"/>
        <v>112</v>
      </c>
      <c r="K1183" s="1" t="str">
        <f t="shared" si="7"/>
        <v>Over Forecast</v>
      </c>
      <c r="L1183" s="1">
        <f>F1183+J1182</f>
        <v>194</v>
      </c>
      <c r="M1183" s="7">
        <f t="shared" si="10"/>
        <v>58.92216582</v>
      </c>
      <c r="N1183" s="7">
        <f t="shared" si="8"/>
        <v>3.292479109</v>
      </c>
      <c r="O1183" s="2" t="str">
        <f t="shared" si="9"/>
        <v>Acceptable</v>
      </c>
    </row>
    <row r="1184" ht="15.75" customHeight="1">
      <c r="A1184" s="1" t="s">
        <v>129</v>
      </c>
      <c r="B1184" s="1" t="s">
        <v>121</v>
      </c>
      <c r="C1184" s="1" t="s">
        <v>23</v>
      </c>
      <c r="D1184" s="1">
        <v>542.0</v>
      </c>
      <c r="E1184" s="1">
        <v>412.0</v>
      </c>
      <c r="F1184" s="1">
        <f t="shared" si="2"/>
        <v>-130</v>
      </c>
      <c r="G1184" s="1">
        <f t="shared" si="3"/>
        <v>130</v>
      </c>
      <c r="H1184" s="6">
        <f t="shared" si="4"/>
        <v>0.2398523985</v>
      </c>
      <c r="I1184" s="6">
        <f t="shared" si="5"/>
        <v>0.7601476015</v>
      </c>
      <c r="J1184" s="1">
        <f t="shared" si="6"/>
        <v>-130</v>
      </c>
      <c r="K1184" s="1" t="str">
        <f t="shared" si="7"/>
        <v>Under Forecast</v>
      </c>
      <c r="L1184" s="1">
        <f>F1184</f>
        <v>-130</v>
      </c>
      <c r="M1184" s="7">
        <f t="shared" si="10"/>
        <v>58.98224852</v>
      </c>
      <c r="N1184" s="7">
        <f t="shared" si="8"/>
        <v>-2.20405297</v>
      </c>
      <c r="O1184" s="2" t="str">
        <f t="shared" si="9"/>
        <v>Acceptable</v>
      </c>
    </row>
    <row r="1185" ht="15.75" customHeight="1">
      <c r="A1185" s="1" t="s">
        <v>129</v>
      </c>
      <c r="B1185" s="1" t="s">
        <v>121</v>
      </c>
      <c r="C1185" s="1" t="s">
        <v>24</v>
      </c>
      <c r="D1185" s="1">
        <v>534.0</v>
      </c>
      <c r="E1185" s="1">
        <v>358.0</v>
      </c>
      <c r="F1185" s="1">
        <f t="shared" si="2"/>
        <v>-176</v>
      </c>
      <c r="G1185" s="1">
        <f t="shared" si="3"/>
        <v>176</v>
      </c>
      <c r="H1185" s="6">
        <f t="shared" si="4"/>
        <v>0.329588015</v>
      </c>
      <c r="I1185" s="6">
        <f t="shared" si="5"/>
        <v>0.670411985</v>
      </c>
      <c r="J1185" s="1">
        <f t="shared" si="6"/>
        <v>-176</v>
      </c>
      <c r="K1185" s="1" t="str">
        <f t="shared" si="7"/>
        <v>Under Forecast</v>
      </c>
      <c r="L1185" s="1">
        <f>F1185+J1184</f>
        <v>-306</v>
      </c>
      <c r="M1185" s="7">
        <f t="shared" si="10"/>
        <v>59.08108108</v>
      </c>
      <c r="N1185" s="7">
        <f t="shared" si="8"/>
        <v>-5.179322964</v>
      </c>
      <c r="O1185" s="2" t="str">
        <f t="shared" si="9"/>
        <v>Under Forecasting Problem</v>
      </c>
    </row>
    <row r="1186" ht="15.75" customHeight="1">
      <c r="A1186" s="1" t="s">
        <v>129</v>
      </c>
      <c r="B1186" s="1" t="s">
        <v>121</v>
      </c>
      <c r="C1186" s="1" t="s">
        <v>25</v>
      </c>
      <c r="D1186" s="1">
        <v>421.0</v>
      </c>
      <c r="E1186" s="1">
        <v>267.0</v>
      </c>
      <c r="F1186" s="1">
        <f t="shared" si="2"/>
        <v>-154</v>
      </c>
      <c r="G1186" s="1">
        <f t="shared" si="3"/>
        <v>154</v>
      </c>
      <c r="H1186" s="6">
        <f t="shared" si="4"/>
        <v>0.3657957245</v>
      </c>
      <c r="I1186" s="6">
        <f t="shared" si="5"/>
        <v>0.6342042755</v>
      </c>
      <c r="J1186" s="1">
        <f t="shared" si="6"/>
        <v>-154</v>
      </c>
      <c r="K1186" s="1" t="str">
        <f t="shared" si="7"/>
        <v>Under Forecast</v>
      </c>
      <c r="L1186" s="1">
        <f>F1186</f>
        <v>-154</v>
      </c>
      <c r="M1186" s="7">
        <f t="shared" si="10"/>
        <v>59.16118143</v>
      </c>
      <c r="N1186" s="7">
        <f t="shared" si="8"/>
        <v>-2.603058226</v>
      </c>
      <c r="O1186" s="2" t="str">
        <f t="shared" si="9"/>
        <v>Acceptable</v>
      </c>
    </row>
    <row r="1187" ht="15.75" customHeight="1">
      <c r="A1187" s="1" t="s">
        <v>129</v>
      </c>
      <c r="B1187" s="1" t="s">
        <v>121</v>
      </c>
      <c r="C1187" s="1" t="s">
        <v>26</v>
      </c>
      <c r="D1187" s="1">
        <v>452.0</v>
      </c>
      <c r="E1187" s="1">
        <v>500.0</v>
      </c>
      <c r="F1187" s="1">
        <f t="shared" si="2"/>
        <v>48</v>
      </c>
      <c r="G1187" s="1">
        <f t="shared" si="3"/>
        <v>48</v>
      </c>
      <c r="H1187" s="6">
        <f t="shared" si="4"/>
        <v>0.1061946903</v>
      </c>
      <c r="I1187" s="6">
        <f t="shared" si="5"/>
        <v>0.8938053097</v>
      </c>
      <c r="J1187" s="1">
        <f t="shared" si="6"/>
        <v>48</v>
      </c>
      <c r="K1187" s="1" t="str">
        <f t="shared" si="7"/>
        <v>Over Forecast</v>
      </c>
      <c r="L1187" s="1">
        <f>F1187+J1186</f>
        <v>-106</v>
      </c>
      <c r="M1187" s="7">
        <f t="shared" si="10"/>
        <v>59.15177066</v>
      </c>
      <c r="N1187" s="7">
        <f t="shared" si="8"/>
        <v>-1.792000456</v>
      </c>
      <c r="O1187" s="2" t="str">
        <f t="shared" si="9"/>
        <v>Acceptable</v>
      </c>
    </row>
    <row r="1188" ht="15.75" customHeight="1">
      <c r="A1188" s="1" t="s">
        <v>129</v>
      </c>
      <c r="B1188" s="1" t="s">
        <v>121</v>
      </c>
      <c r="C1188" s="1" t="s">
        <v>27</v>
      </c>
      <c r="D1188" s="1">
        <v>426.0</v>
      </c>
      <c r="E1188" s="1">
        <v>257.0</v>
      </c>
      <c r="F1188" s="1">
        <f t="shared" si="2"/>
        <v>-169</v>
      </c>
      <c r="G1188" s="1">
        <f t="shared" si="3"/>
        <v>169</v>
      </c>
      <c r="H1188" s="6">
        <f t="shared" si="4"/>
        <v>0.396713615</v>
      </c>
      <c r="I1188" s="6">
        <f t="shared" si="5"/>
        <v>0.603286385</v>
      </c>
      <c r="J1188" s="1">
        <f t="shared" si="6"/>
        <v>-169</v>
      </c>
      <c r="K1188" s="1" t="str">
        <f t="shared" si="7"/>
        <v>Under Forecast</v>
      </c>
      <c r="L1188" s="1">
        <f>F1188</f>
        <v>-169</v>
      </c>
      <c r="M1188" s="7">
        <f t="shared" si="10"/>
        <v>59.2443134</v>
      </c>
      <c r="N1188" s="7">
        <f t="shared" si="8"/>
        <v>-2.852594457</v>
      </c>
      <c r="O1188" s="2" t="str">
        <f t="shared" si="9"/>
        <v>Acceptable</v>
      </c>
    </row>
    <row r="1189" ht="15.75" customHeight="1">
      <c r="A1189" s="1" t="s">
        <v>129</v>
      </c>
      <c r="B1189" s="1" t="s">
        <v>121</v>
      </c>
      <c r="C1189" s="1" t="s">
        <v>28</v>
      </c>
      <c r="D1189" s="1">
        <v>501.0</v>
      </c>
      <c r="E1189" s="1">
        <v>630.0</v>
      </c>
      <c r="F1189" s="1">
        <f t="shared" si="2"/>
        <v>129</v>
      </c>
      <c r="G1189" s="1">
        <f t="shared" si="3"/>
        <v>129</v>
      </c>
      <c r="H1189" s="6">
        <f t="shared" si="4"/>
        <v>0.2574850299</v>
      </c>
      <c r="I1189" s="6">
        <f t="shared" si="5"/>
        <v>0.7425149701</v>
      </c>
      <c r="J1189" s="1">
        <f t="shared" si="6"/>
        <v>129</v>
      </c>
      <c r="K1189" s="1" t="str">
        <f t="shared" si="7"/>
        <v>Over Forecast</v>
      </c>
      <c r="L1189" s="1">
        <f>F1189+J1188</f>
        <v>-40</v>
      </c>
      <c r="M1189" s="7">
        <f t="shared" si="10"/>
        <v>59.3030303</v>
      </c>
      <c r="N1189" s="7">
        <f t="shared" si="8"/>
        <v>-0.6745017885</v>
      </c>
      <c r="O1189" s="2" t="str">
        <f t="shared" si="9"/>
        <v>Acceptable</v>
      </c>
    </row>
    <row r="1190" ht="15.75" customHeight="1">
      <c r="A1190" s="1" t="s">
        <v>130</v>
      </c>
      <c r="B1190" s="1" t="s">
        <v>121</v>
      </c>
      <c r="C1190" s="1" t="s">
        <v>17</v>
      </c>
      <c r="D1190" s="1">
        <v>311.0</v>
      </c>
      <c r="E1190" s="1">
        <v>329.0</v>
      </c>
      <c r="F1190" s="1">
        <f t="shared" si="2"/>
        <v>18</v>
      </c>
      <c r="G1190" s="1">
        <f t="shared" si="3"/>
        <v>18</v>
      </c>
      <c r="H1190" s="6">
        <f t="shared" si="4"/>
        <v>0.0578778135</v>
      </c>
      <c r="I1190" s="6">
        <f t="shared" si="5"/>
        <v>0.9421221865</v>
      </c>
      <c r="J1190" s="1">
        <f t="shared" si="6"/>
        <v>18</v>
      </c>
      <c r="K1190" s="1" t="str">
        <f t="shared" si="7"/>
        <v>Over Forecast</v>
      </c>
      <c r="L1190" s="1">
        <f>F1190</f>
        <v>18</v>
      </c>
      <c r="M1190" s="7">
        <f t="shared" si="10"/>
        <v>59.26829268</v>
      </c>
      <c r="N1190" s="7">
        <f t="shared" si="8"/>
        <v>0.3037037037</v>
      </c>
      <c r="O1190" s="2" t="str">
        <f t="shared" si="9"/>
        <v>Acceptable</v>
      </c>
    </row>
    <row r="1191" ht="15.75" customHeight="1">
      <c r="A1191" s="1" t="s">
        <v>130</v>
      </c>
      <c r="B1191" s="1" t="s">
        <v>121</v>
      </c>
      <c r="C1191" s="1" t="s">
        <v>18</v>
      </c>
      <c r="D1191" s="1">
        <v>281.0</v>
      </c>
      <c r="E1191" s="1">
        <v>269.0</v>
      </c>
      <c r="F1191" s="1">
        <f t="shared" si="2"/>
        <v>-12</v>
      </c>
      <c r="G1191" s="1">
        <f t="shared" si="3"/>
        <v>12</v>
      </c>
      <c r="H1191" s="6">
        <f t="shared" si="4"/>
        <v>0.04270462633</v>
      </c>
      <c r="I1191" s="6">
        <f t="shared" si="5"/>
        <v>0.9572953737</v>
      </c>
      <c r="J1191" s="1">
        <f t="shared" si="6"/>
        <v>-12</v>
      </c>
      <c r="K1191" s="1" t="str">
        <f t="shared" si="7"/>
        <v>Under Forecast</v>
      </c>
      <c r="L1191" s="1">
        <f>F1191+J1190</f>
        <v>6</v>
      </c>
      <c r="M1191" s="7">
        <f t="shared" si="10"/>
        <v>59.22857143</v>
      </c>
      <c r="N1191" s="7">
        <f t="shared" si="8"/>
        <v>0.1013024602</v>
      </c>
      <c r="O1191" s="2" t="str">
        <f t="shared" si="9"/>
        <v>Acceptable</v>
      </c>
    </row>
    <row r="1192" ht="15.75" customHeight="1">
      <c r="A1192" s="1" t="s">
        <v>130</v>
      </c>
      <c r="B1192" s="1" t="s">
        <v>121</v>
      </c>
      <c r="C1192" s="1" t="s">
        <v>19</v>
      </c>
      <c r="D1192" s="1">
        <v>297.0</v>
      </c>
      <c r="E1192" s="1">
        <v>266.0</v>
      </c>
      <c r="F1192" s="1">
        <f t="shared" si="2"/>
        <v>-31</v>
      </c>
      <c r="G1192" s="1">
        <f t="shared" si="3"/>
        <v>31</v>
      </c>
      <c r="H1192" s="6">
        <f t="shared" si="4"/>
        <v>0.1043771044</v>
      </c>
      <c r="I1192" s="6">
        <f t="shared" si="5"/>
        <v>0.8956228956</v>
      </c>
      <c r="J1192" s="1">
        <f t="shared" si="6"/>
        <v>-31</v>
      </c>
      <c r="K1192" s="1" t="str">
        <f t="shared" si="7"/>
        <v>Under Forecast</v>
      </c>
      <c r="L1192" s="1">
        <f>F1192</f>
        <v>-31</v>
      </c>
      <c r="M1192" s="7">
        <f t="shared" si="10"/>
        <v>59.20486986</v>
      </c>
      <c r="N1192" s="7">
        <f t="shared" si="8"/>
        <v>-0.5236055763</v>
      </c>
      <c r="O1192" s="2" t="str">
        <f t="shared" si="9"/>
        <v>Acceptable</v>
      </c>
    </row>
    <row r="1193" ht="15.75" customHeight="1">
      <c r="A1193" s="1" t="s">
        <v>130</v>
      </c>
      <c r="B1193" s="1" t="s">
        <v>121</v>
      </c>
      <c r="C1193" s="1" t="s">
        <v>20</v>
      </c>
      <c r="D1193" s="1">
        <v>335.0</v>
      </c>
      <c r="E1193" s="1">
        <v>208.0</v>
      </c>
      <c r="F1193" s="1">
        <f t="shared" si="2"/>
        <v>-127</v>
      </c>
      <c r="G1193" s="1">
        <f t="shared" si="3"/>
        <v>127</v>
      </c>
      <c r="H1193" s="6">
        <f t="shared" si="4"/>
        <v>0.3791044776</v>
      </c>
      <c r="I1193" s="6">
        <f t="shared" si="5"/>
        <v>0.6208955224</v>
      </c>
      <c r="J1193" s="1">
        <f t="shared" si="6"/>
        <v>-127</v>
      </c>
      <c r="K1193" s="1" t="str">
        <f t="shared" si="7"/>
        <v>Under Forecast</v>
      </c>
      <c r="L1193" s="1">
        <f>F1193+J1192</f>
        <v>-158</v>
      </c>
      <c r="M1193" s="7">
        <f t="shared" si="10"/>
        <v>59.26174497</v>
      </c>
      <c r="N1193" s="7">
        <f t="shared" si="8"/>
        <v>-2.666138165</v>
      </c>
      <c r="O1193" s="2" t="str">
        <f t="shared" si="9"/>
        <v>Acceptable</v>
      </c>
    </row>
    <row r="1194" ht="15.75" customHeight="1">
      <c r="A1194" s="1" t="s">
        <v>130</v>
      </c>
      <c r="B1194" s="1" t="s">
        <v>121</v>
      </c>
      <c r="C1194" s="1" t="s">
        <v>21</v>
      </c>
      <c r="D1194" s="1">
        <v>348.0</v>
      </c>
      <c r="E1194" s="1">
        <v>229.0</v>
      </c>
      <c r="F1194" s="1">
        <f t="shared" si="2"/>
        <v>-119</v>
      </c>
      <c r="G1194" s="1">
        <f t="shared" si="3"/>
        <v>119</v>
      </c>
      <c r="H1194" s="6">
        <f t="shared" si="4"/>
        <v>0.341954023</v>
      </c>
      <c r="I1194" s="6">
        <f t="shared" si="5"/>
        <v>0.658045977</v>
      </c>
      <c r="J1194" s="1">
        <f t="shared" si="6"/>
        <v>-119</v>
      </c>
      <c r="K1194" s="1" t="str">
        <f t="shared" si="7"/>
        <v>Under Forecast</v>
      </c>
      <c r="L1194" s="1">
        <f>F1194</f>
        <v>-119</v>
      </c>
      <c r="M1194" s="7">
        <f t="shared" si="10"/>
        <v>59.31181894</v>
      </c>
      <c r="N1194" s="7">
        <f t="shared" si="8"/>
        <v>-2.006345483</v>
      </c>
      <c r="O1194" s="2" t="str">
        <f t="shared" si="9"/>
        <v>Acceptable</v>
      </c>
    </row>
    <row r="1195" ht="15.75" customHeight="1">
      <c r="A1195" s="1" t="s">
        <v>130</v>
      </c>
      <c r="B1195" s="1" t="s">
        <v>121</v>
      </c>
      <c r="C1195" s="1" t="s">
        <v>22</v>
      </c>
      <c r="D1195" s="1">
        <v>396.0</v>
      </c>
      <c r="E1195" s="1">
        <v>525.0</v>
      </c>
      <c r="F1195" s="1">
        <f t="shared" si="2"/>
        <v>129</v>
      </c>
      <c r="G1195" s="1">
        <f t="shared" si="3"/>
        <v>129</v>
      </c>
      <c r="H1195" s="6">
        <f t="shared" si="4"/>
        <v>0.3257575758</v>
      </c>
      <c r="I1195" s="6">
        <f t="shared" si="5"/>
        <v>0.6742424242</v>
      </c>
      <c r="J1195" s="1">
        <f t="shared" si="6"/>
        <v>129</v>
      </c>
      <c r="K1195" s="1" t="str">
        <f t="shared" si="7"/>
        <v>Over Forecast</v>
      </c>
      <c r="L1195" s="1">
        <f>F1195+J1194</f>
        <v>10</v>
      </c>
      <c r="M1195" s="7">
        <f t="shared" si="10"/>
        <v>59.37018425</v>
      </c>
      <c r="N1195" s="7">
        <f t="shared" si="8"/>
        <v>0.1684347139</v>
      </c>
      <c r="O1195" s="2" t="str">
        <f t="shared" si="9"/>
        <v>Acceptable</v>
      </c>
    </row>
    <row r="1196" ht="15.75" customHeight="1">
      <c r="A1196" s="1" t="s">
        <v>130</v>
      </c>
      <c r="B1196" s="1" t="s">
        <v>121</v>
      </c>
      <c r="C1196" s="1" t="s">
        <v>23</v>
      </c>
      <c r="D1196" s="1">
        <v>354.0</v>
      </c>
      <c r="E1196" s="1">
        <v>472.0</v>
      </c>
      <c r="F1196" s="1">
        <f t="shared" si="2"/>
        <v>118</v>
      </c>
      <c r="G1196" s="1">
        <f t="shared" si="3"/>
        <v>118</v>
      </c>
      <c r="H1196" s="6">
        <f t="shared" si="4"/>
        <v>0.3333333333</v>
      </c>
      <c r="I1196" s="6">
        <f t="shared" si="5"/>
        <v>0.6666666667</v>
      </c>
      <c r="J1196" s="1">
        <f t="shared" si="6"/>
        <v>118</v>
      </c>
      <c r="K1196" s="1" t="str">
        <f t="shared" si="7"/>
        <v>Over Forecast</v>
      </c>
      <c r="L1196" s="1">
        <f>F1196</f>
        <v>118</v>
      </c>
      <c r="M1196" s="7">
        <f t="shared" si="10"/>
        <v>59.41924686</v>
      </c>
      <c r="N1196" s="7">
        <f t="shared" si="8"/>
        <v>1.985888516</v>
      </c>
      <c r="O1196" s="2" t="str">
        <f t="shared" si="9"/>
        <v>Acceptable</v>
      </c>
    </row>
    <row r="1197" ht="15.75" customHeight="1">
      <c r="A1197" s="1" t="s">
        <v>130</v>
      </c>
      <c r="B1197" s="1" t="s">
        <v>121</v>
      </c>
      <c r="C1197" s="1" t="s">
        <v>24</v>
      </c>
      <c r="D1197" s="1">
        <v>383.0</v>
      </c>
      <c r="E1197" s="1">
        <v>310.0</v>
      </c>
      <c r="F1197" s="1">
        <f t="shared" si="2"/>
        <v>-73</v>
      </c>
      <c r="G1197" s="1">
        <f t="shared" si="3"/>
        <v>73</v>
      </c>
      <c r="H1197" s="6">
        <f t="shared" si="4"/>
        <v>0.1906005222</v>
      </c>
      <c r="I1197" s="6">
        <f t="shared" si="5"/>
        <v>0.8093994778</v>
      </c>
      <c r="J1197" s="1">
        <f t="shared" si="6"/>
        <v>-73</v>
      </c>
      <c r="K1197" s="1" t="str">
        <f t="shared" si="7"/>
        <v>Under Forecast</v>
      </c>
      <c r="L1197" s="1">
        <f>F1197+J1196</f>
        <v>45</v>
      </c>
      <c r="M1197" s="7">
        <f t="shared" si="10"/>
        <v>59.43060201</v>
      </c>
      <c r="N1197" s="7">
        <f t="shared" si="8"/>
        <v>0.7571856667</v>
      </c>
      <c r="O1197" s="2" t="str">
        <f t="shared" si="9"/>
        <v>Acceptable</v>
      </c>
    </row>
    <row r="1198" ht="15.75" customHeight="1">
      <c r="A1198" s="1" t="s">
        <v>130</v>
      </c>
      <c r="B1198" s="1" t="s">
        <v>121</v>
      </c>
      <c r="C1198" s="1" t="s">
        <v>25</v>
      </c>
      <c r="D1198" s="1">
        <v>336.0</v>
      </c>
      <c r="E1198" s="1">
        <v>326.0</v>
      </c>
      <c r="F1198" s="1">
        <f t="shared" si="2"/>
        <v>-10</v>
      </c>
      <c r="G1198" s="1">
        <f t="shared" si="3"/>
        <v>10</v>
      </c>
      <c r="H1198" s="6">
        <f t="shared" si="4"/>
        <v>0.02976190476</v>
      </c>
      <c r="I1198" s="6">
        <f t="shared" si="5"/>
        <v>0.9702380952</v>
      </c>
      <c r="J1198" s="1">
        <f t="shared" si="6"/>
        <v>-10</v>
      </c>
      <c r="K1198" s="1" t="str">
        <f t="shared" si="7"/>
        <v>Under Forecast</v>
      </c>
      <c r="L1198" s="1">
        <f>F1198</f>
        <v>-10</v>
      </c>
      <c r="M1198" s="7">
        <f t="shared" si="10"/>
        <v>59.3893066</v>
      </c>
      <c r="N1198" s="7">
        <f t="shared" si="8"/>
        <v>-0.1683804808</v>
      </c>
      <c r="O1198" s="2" t="str">
        <f t="shared" si="9"/>
        <v>Acceptable</v>
      </c>
    </row>
    <row r="1199" ht="15.75" customHeight="1">
      <c r="A1199" s="1" t="s">
        <v>130</v>
      </c>
      <c r="B1199" s="1" t="s">
        <v>121</v>
      </c>
      <c r="C1199" s="1" t="s">
        <v>26</v>
      </c>
      <c r="D1199" s="1">
        <v>389.0</v>
      </c>
      <c r="E1199" s="1">
        <v>441.0</v>
      </c>
      <c r="F1199" s="1">
        <f t="shared" si="2"/>
        <v>52</v>
      </c>
      <c r="G1199" s="1">
        <f t="shared" si="3"/>
        <v>52</v>
      </c>
      <c r="H1199" s="6">
        <f t="shared" si="4"/>
        <v>0.1336760925</v>
      </c>
      <c r="I1199" s="6">
        <f t="shared" si="5"/>
        <v>0.8663239075</v>
      </c>
      <c r="J1199" s="1">
        <f t="shared" si="6"/>
        <v>52</v>
      </c>
      <c r="K1199" s="1" t="str">
        <f t="shared" si="7"/>
        <v>Over Forecast</v>
      </c>
      <c r="L1199" s="1">
        <f>F1199+J1198</f>
        <v>42</v>
      </c>
      <c r="M1199" s="7">
        <f t="shared" si="10"/>
        <v>59.38313856</v>
      </c>
      <c r="N1199" s="7">
        <f t="shared" si="8"/>
        <v>0.707271475</v>
      </c>
      <c r="O1199" s="2" t="str">
        <f t="shared" si="9"/>
        <v>Acceptable</v>
      </c>
    </row>
    <row r="1200" ht="15.75" customHeight="1">
      <c r="A1200" s="1" t="s">
        <v>130</v>
      </c>
      <c r="B1200" s="1" t="s">
        <v>121</v>
      </c>
      <c r="C1200" s="1" t="s">
        <v>27</v>
      </c>
      <c r="D1200" s="1">
        <v>334.0</v>
      </c>
      <c r="E1200" s="1">
        <v>209.0</v>
      </c>
      <c r="F1200" s="1">
        <f t="shared" si="2"/>
        <v>-125</v>
      </c>
      <c r="G1200" s="1">
        <f t="shared" si="3"/>
        <v>125</v>
      </c>
      <c r="H1200" s="6">
        <f t="shared" si="4"/>
        <v>0.374251497</v>
      </c>
      <c r="I1200" s="6">
        <f t="shared" si="5"/>
        <v>0.625748503</v>
      </c>
      <c r="J1200" s="1">
        <f t="shared" si="6"/>
        <v>-125</v>
      </c>
      <c r="K1200" s="1" t="str">
        <f t="shared" si="7"/>
        <v>Under Forecast</v>
      </c>
      <c r="L1200" s="1">
        <f>F1200</f>
        <v>-125</v>
      </c>
      <c r="M1200" s="7">
        <f t="shared" si="10"/>
        <v>59.43786489</v>
      </c>
      <c r="N1200" s="7">
        <f t="shared" si="8"/>
        <v>-2.103036511</v>
      </c>
      <c r="O1200" s="2" t="str">
        <f t="shared" si="9"/>
        <v>Acceptable</v>
      </c>
    </row>
    <row r="1201" ht="15.75" customHeight="1">
      <c r="A1201" s="1" t="s">
        <v>130</v>
      </c>
      <c r="B1201" s="1" t="s">
        <v>121</v>
      </c>
      <c r="C1201" s="1" t="s">
        <v>28</v>
      </c>
      <c r="D1201" s="1">
        <v>357.0</v>
      </c>
      <c r="E1201" s="1">
        <v>287.0</v>
      </c>
      <c r="F1201" s="1">
        <f t="shared" si="2"/>
        <v>-70</v>
      </c>
      <c r="G1201" s="1">
        <f t="shared" si="3"/>
        <v>70</v>
      </c>
      <c r="H1201" s="6">
        <f t="shared" si="4"/>
        <v>0.1960784314</v>
      </c>
      <c r="I1201" s="6">
        <f t="shared" si="5"/>
        <v>0.8039215686</v>
      </c>
      <c r="J1201" s="1">
        <f t="shared" si="6"/>
        <v>-70</v>
      </c>
      <c r="K1201" s="1" t="str">
        <f t="shared" si="7"/>
        <v>Under Forecast</v>
      </c>
      <c r="L1201" s="1">
        <f>F1201+J1200</f>
        <v>-195</v>
      </c>
      <c r="M1201" s="7">
        <f t="shared" si="10"/>
        <v>59.44666667</v>
      </c>
      <c r="N1201" s="7">
        <f t="shared" si="8"/>
        <v>-3.280251206</v>
      </c>
      <c r="O1201" s="2" t="str">
        <f t="shared" si="9"/>
        <v>Acceptable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7.0" topLeftCell="D18" activePane="bottomRight" state="frozen"/>
      <selection activeCell="D1" sqref="D1" pane="topRight"/>
      <selection activeCell="A18" sqref="A18" pane="bottomLeft"/>
      <selection activeCell="D18" sqref="D18" pane="bottomRight"/>
    </sheetView>
  </sheetViews>
  <sheetFormatPr customHeight="1" defaultColWidth="14.43" defaultRowHeight="15.0"/>
  <cols>
    <col customWidth="1" min="1" max="1" width="19.29"/>
  </cols>
  <sheetData>
    <row r="1">
      <c r="A1" s="8" t="s">
        <v>131</v>
      </c>
      <c r="E1" s="8" t="s">
        <v>132</v>
      </c>
    </row>
    <row r="2">
      <c r="A2" s="9" t="s">
        <v>1</v>
      </c>
      <c r="B2" s="9" t="s">
        <v>133</v>
      </c>
    </row>
    <row r="3">
      <c r="A3" s="9" t="s">
        <v>16</v>
      </c>
      <c r="B3" s="10">
        <v>0.9479858909195874</v>
      </c>
    </row>
    <row r="4">
      <c r="A4" s="9" t="s">
        <v>69</v>
      </c>
      <c r="B4" s="10">
        <v>0.9217137507828534</v>
      </c>
    </row>
    <row r="5">
      <c r="A5" s="9" t="s">
        <v>121</v>
      </c>
      <c r="B5" s="10">
        <v>0.803191097298165</v>
      </c>
    </row>
    <row r="6">
      <c r="A6" s="9" t="s">
        <v>105</v>
      </c>
      <c r="B6" s="10">
        <v>0.8684307014725061</v>
      </c>
    </row>
    <row r="7">
      <c r="A7" s="9" t="s">
        <v>135</v>
      </c>
      <c r="B7" s="10">
        <v>0.9123778840925274</v>
      </c>
    </row>
    <row r="8"/>
    <row r="9"/>
    <row r="10">
      <c r="A10" s="8" t="s">
        <v>136</v>
      </c>
    </row>
    <row r="11">
      <c r="A11" s="9" t="s">
        <v>1</v>
      </c>
      <c r="B11" s="9" t="s">
        <v>137</v>
      </c>
    </row>
    <row r="12">
      <c r="A12" s="9" t="s">
        <v>16</v>
      </c>
      <c r="B12" s="10">
        <v>0.05201410908041284</v>
      </c>
    </row>
    <row r="13">
      <c r="A13" s="9" t="s">
        <v>69</v>
      </c>
      <c r="B13" s="10">
        <v>0.0782862492171471</v>
      </c>
    </row>
    <row r="14">
      <c r="A14" s="9" t="s">
        <v>121</v>
      </c>
      <c r="B14" s="10">
        <v>0.19680890270183518</v>
      </c>
    </row>
    <row r="15">
      <c r="A15" s="9" t="s">
        <v>105</v>
      </c>
      <c r="B15" s="10">
        <v>0.13156929852749394</v>
      </c>
    </row>
    <row r="16">
      <c r="A16" s="9" t="s">
        <v>135</v>
      </c>
      <c r="B16" s="10">
        <v>0.08762211590747407</v>
      </c>
    </row>
    <row r="17"/>
    <row r="18"/>
    <row r="19">
      <c r="A19" s="8" t="s">
        <v>138</v>
      </c>
    </row>
    <row r="20"/>
    <row r="21">
      <c r="A21" s="12" t="s">
        <v>139</v>
      </c>
      <c r="B21" s="9">
        <f>SUM(Master_Data!G2:G1201)</f>
        <v>71336</v>
      </c>
    </row>
    <row r="22">
      <c r="A22" s="12" t="s">
        <v>140</v>
      </c>
      <c r="B22" s="9">
        <f>SUM(Master_Data!D2:D1201)</f>
        <v>1076002</v>
      </c>
    </row>
    <row r="23"/>
    <row r="24">
      <c r="A24" s="12" t="s">
        <v>138</v>
      </c>
      <c r="B24" s="9">
        <f>B22/B21</f>
        <v>15.08357631</v>
      </c>
    </row>
    <row r="25"/>
    <row r="26"/>
    <row r="27"/>
    <row r="28">
      <c r="A28" s="8" t="s">
        <v>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</sheetData>
  <drawing r:id="rId3"/>
</worksheet>
</file>